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af\Downloads\"/>
    </mc:Choice>
  </mc:AlternateContent>
  <xr:revisionPtr revIDLastSave="0" documentId="13_ncr:1_{D07FD6D6-F39A-46C6-BC81-D669CD4CDD13}" xr6:coauthVersionLast="47" xr6:coauthVersionMax="47" xr10:uidLastSave="{00000000-0000-0000-0000-000000000000}"/>
  <bookViews>
    <workbookView xWindow="-108" yWindow="-108" windowWidth="23256" windowHeight="12456" firstSheet="2" activeTab="4" xr2:uid="{3F062E73-DFAE-43FA-9F88-BCD1CE00CE44}"/>
  </bookViews>
  <sheets>
    <sheet name="NOTE" sheetId="6" r:id="rId1"/>
    <sheet name="HOW PROJECT IS WORKING" sheetId="5" r:id="rId2"/>
    <sheet name="SEPTEMBER BALANCE AND OPENING" sheetId="1" r:id="rId3"/>
    <sheet name="RTO AND OLD STOCK OCTOBER" sheetId="2" r:id="rId4"/>
    <sheet name="DTO OCTOBER 2024" sheetId="3" r:id="rId5"/>
    <sheet name="MASTER GOOD OCOTBER 2024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11" i="2" l="1"/>
  <c r="AM5" i="2"/>
  <c r="AM6" i="2"/>
  <c r="AM7" i="2"/>
  <c r="AM8" i="2"/>
  <c r="AM9" i="2"/>
  <c r="AM10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L4" i="1"/>
  <c r="F4" i="1"/>
  <c r="AN4" i="1"/>
  <c r="AK40" i="4"/>
  <c r="AK39" i="4"/>
  <c r="AK38" i="4"/>
  <c r="AL37" i="4"/>
  <c r="AK37" i="4"/>
  <c r="AK36" i="4"/>
  <c r="AK35" i="4"/>
  <c r="AK34" i="4"/>
  <c r="AK33" i="4"/>
  <c r="AK32" i="4"/>
  <c r="AK31" i="4"/>
  <c r="AK30" i="4"/>
  <c r="AK29" i="4"/>
  <c r="AK28" i="4"/>
  <c r="AK27" i="4"/>
  <c r="AL26" i="4"/>
  <c r="AK26" i="4"/>
  <c r="AK25" i="4"/>
  <c r="AK24" i="4"/>
  <c r="AK23" i="4"/>
  <c r="AK22" i="4"/>
  <c r="AL22" i="4" s="1"/>
  <c r="AK21" i="4"/>
  <c r="AK20" i="4"/>
  <c r="AK19" i="4"/>
  <c r="AK18" i="4"/>
  <c r="AK17" i="4"/>
  <c r="AK16" i="4"/>
  <c r="AK15" i="4"/>
  <c r="AL15" i="4" s="1"/>
  <c r="AK14" i="4"/>
  <c r="AK13" i="4"/>
  <c r="AK12" i="4"/>
  <c r="AL12" i="4" s="1"/>
  <c r="AK11" i="4"/>
  <c r="AK10" i="4"/>
  <c r="AK9" i="4"/>
  <c r="AK8" i="4"/>
  <c r="AK7" i="4"/>
  <c r="AK6" i="4"/>
  <c r="AL4" i="4" s="1"/>
  <c r="AK5" i="4"/>
  <c r="AK4" i="4"/>
  <c r="AK36" i="3"/>
  <c r="AK32" i="3"/>
  <c r="AK22" i="3"/>
  <c r="AK18" i="3"/>
  <c r="AK15" i="3"/>
  <c r="AK7" i="3"/>
  <c r="AK4" i="3"/>
  <c r="F40" i="2"/>
  <c r="AL39" i="2"/>
  <c r="F38" i="2"/>
  <c r="F37" i="2"/>
  <c r="F32" i="2"/>
  <c r="F30" i="2"/>
  <c r="F28" i="2"/>
  <c r="F27" i="2"/>
  <c r="F26" i="2"/>
  <c r="F24" i="2"/>
  <c r="AL24" i="2" s="1"/>
  <c r="F23" i="2"/>
  <c r="F22" i="2"/>
  <c r="F15" i="2"/>
  <c r="F13" i="2"/>
  <c r="F12" i="2"/>
  <c r="F10" i="2"/>
  <c r="F9" i="2"/>
  <c r="F8" i="2"/>
  <c r="F7" i="2"/>
  <c r="F6" i="2"/>
  <c r="F5" i="2"/>
  <c r="AL5" i="2" s="1"/>
  <c r="F4" i="2"/>
  <c r="AM35" i="1"/>
  <c r="AM27" i="1"/>
  <c r="AM19" i="1"/>
  <c r="AM11" i="1"/>
  <c r="AK24" i="3" l="1"/>
  <c r="F24" i="1" s="1"/>
  <c r="AL24" i="1" s="1"/>
  <c r="AK40" i="3"/>
  <c r="AL22" i="2"/>
  <c r="AK11" i="3"/>
  <c r="AM8" i="1"/>
  <c r="AM9" i="1"/>
  <c r="AM10" i="1"/>
  <c r="AM16" i="1"/>
  <c r="AM17" i="1"/>
  <c r="AM18" i="1"/>
  <c r="AM24" i="1"/>
  <c r="AM25" i="1"/>
  <c r="AM26" i="1"/>
  <c r="AM32" i="1"/>
  <c r="AM33" i="1"/>
  <c r="AM34" i="1"/>
  <c r="AM40" i="1"/>
  <c r="AL16" i="2"/>
  <c r="AL20" i="2"/>
  <c r="F20" i="1" s="1"/>
  <c r="AN22" i="2"/>
  <c r="AL31" i="2"/>
  <c r="AL32" i="2"/>
  <c r="AL33" i="2"/>
  <c r="AL37" i="2"/>
  <c r="AL38" i="2"/>
  <c r="AK6" i="3"/>
  <c r="AK10" i="3"/>
  <c r="AK14" i="3"/>
  <c r="AK17" i="3"/>
  <c r="AK21" i="3"/>
  <c r="AK23" i="3"/>
  <c r="AK27" i="3"/>
  <c r="AK31" i="3"/>
  <c r="AK35" i="3"/>
  <c r="AK39" i="3"/>
  <c r="F39" i="1" s="1"/>
  <c r="AL8" i="2"/>
  <c r="AL9" i="2"/>
  <c r="F9" i="1" s="1"/>
  <c r="AL10" i="2"/>
  <c r="AL40" i="2"/>
  <c r="AM7" i="1"/>
  <c r="AM15" i="1"/>
  <c r="AM23" i="1"/>
  <c r="AM31" i="1"/>
  <c r="AM39" i="1"/>
  <c r="AL14" i="2"/>
  <c r="AL15" i="2"/>
  <c r="AL30" i="2"/>
  <c r="AK5" i="3"/>
  <c r="AK9" i="3"/>
  <c r="AK13" i="3"/>
  <c r="AK16" i="3"/>
  <c r="AK20" i="3"/>
  <c r="AK26" i="3"/>
  <c r="AK30" i="3"/>
  <c r="AK34" i="3"/>
  <c r="AK38" i="3"/>
  <c r="AM4" i="1"/>
  <c r="AL6" i="2"/>
  <c r="AL7" i="2"/>
  <c r="AL23" i="2"/>
  <c r="AK28" i="3"/>
  <c r="AM5" i="1"/>
  <c r="AM6" i="1"/>
  <c r="AM12" i="1"/>
  <c r="AM13" i="1"/>
  <c r="AM14" i="1"/>
  <c r="AM20" i="1"/>
  <c r="AM21" i="1"/>
  <c r="AM22" i="1"/>
  <c r="AM28" i="1"/>
  <c r="AM29" i="1"/>
  <c r="AM30" i="1"/>
  <c r="AM36" i="1"/>
  <c r="AM37" i="1"/>
  <c r="AM38" i="1"/>
  <c r="AL12" i="2"/>
  <c r="AL13" i="2"/>
  <c r="AN12" i="2"/>
  <c r="AL19" i="2"/>
  <c r="AL26" i="2"/>
  <c r="AL27" i="2"/>
  <c r="AL28" i="2"/>
  <c r="AL34" i="2"/>
  <c r="AK8" i="3"/>
  <c r="AK12" i="3"/>
  <c r="AL12" i="3" s="1"/>
  <c r="AK19" i="3"/>
  <c r="AK25" i="3"/>
  <c r="AL22" i="3" s="1"/>
  <c r="AK29" i="3"/>
  <c r="AK33" i="3"/>
  <c r="AK37" i="3"/>
  <c r="AL37" i="3" s="1"/>
  <c r="AL4" i="2"/>
  <c r="AM4" i="2"/>
  <c r="AN37" i="2"/>
  <c r="AL17" i="2"/>
  <c r="AL21" i="2"/>
  <c r="AL25" i="2"/>
  <c r="AL29" i="2"/>
  <c r="AL35" i="2"/>
  <c r="AL11" i="2"/>
  <c r="AL18" i="2"/>
  <c r="AL36" i="2"/>
  <c r="AL15" i="3" l="1"/>
  <c r="F28" i="1"/>
  <c r="AN15" i="2"/>
  <c r="F18" i="1"/>
  <c r="AL18" i="1" s="1"/>
  <c r="F25" i="1"/>
  <c r="AL25" i="1" s="1"/>
  <c r="F11" i="1"/>
  <c r="AL11" i="1" s="1"/>
  <c r="F21" i="1"/>
  <c r="AL21" i="1" s="1"/>
  <c r="F34" i="1"/>
  <c r="AL34" i="1" s="1"/>
  <c r="F27" i="1"/>
  <c r="AL27" i="1" s="1"/>
  <c r="F7" i="1"/>
  <c r="AL7" i="1" s="1"/>
  <c r="F15" i="1"/>
  <c r="AL15" i="1" s="1"/>
  <c r="F10" i="1"/>
  <c r="AL10" i="1" s="1"/>
  <c r="F37" i="1"/>
  <c r="AL37" i="1" s="1"/>
  <c r="F22" i="1"/>
  <c r="AL22" i="1" s="1"/>
  <c r="F35" i="1"/>
  <c r="AL35" i="1" s="1"/>
  <c r="F17" i="1"/>
  <c r="AL17" i="1" s="1"/>
  <c r="AL26" i="3"/>
  <c r="F26" i="1"/>
  <c r="AL26" i="1" s="1"/>
  <c r="F13" i="1"/>
  <c r="AL13" i="1" s="1"/>
  <c r="F6" i="1"/>
  <c r="AL6" i="1" s="1"/>
  <c r="F30" i="1"/>
  <c r="AL30" i="1" s="1"/>
  <c r="F14" i="1"/>
  <c r="AL14" i="1" s="1"/>
  <c r="F33" i="1"/>
  <c r="AL33" i="1" s="1"/>
  <c r="F36" i="1"/>
  <c r="AL36" i="1" s="1"/>
  <c r="F29" i="1"/>
  <c r="AL29" i="1" s="1"/>
  <c r="F19" i="1"/>
  <c r="F12" i="1"/>
  <c r="AL12" i="1" s="1"/>
  <c r="F8" i="1"/>
  <c r="AL8" i="1" s="1"/>
  <c r="F32" i="1"/>
  <c r="AL32" i="1" s="1"/>
  <c r="F16" i="1"/>
  <c r="AL16" i="1" s="1"/>
  <c r="F23" i="1"/>
  <c r="AL23" i="1" s="1"/>
  <c r="AL4" i="3"/>
  <c r="F40" i="1"/>
  <c r="AL40" i="1" s="1"/>
  <c r="AL39" i="1"/>
  <c r="F38" i="1"/>
  <c r="AL38" i="1" s="1"/>
  <c r="F31" i="1"/>
  <c r="AL31" i="1" s="1"/>
  <c r="AN26" i="2"/>
  <c r="F5" i="1"/>
  <c r="AL5" i="1" s="1"/>
  <c r="AN22" i="1"/>
  <c r="AN15" i="1"/>
  <c r="AL20" i="1"/>
  <c r="AN4" i="2"/>
  <c r="AL19" i="1"/>
  <c r="AN12" i="1"/>
  <c r="AL9" i="1"/>
  <c r="AN26" i="1"/>
  <c r="AL28" i="1"/>
  <c r="AN37" i="1"/>
</calcChain>
</file>

<file path=xl/sharedStrings.xml><?xml version="1.0" encoding="utf-8"?>
<sst xmlns="http://schemas.openxmlformats.org/spreadsheetml/2006/main" count="221" uniqueCount="75">
  <si>
    <t>IMAGE</t>
  </si>
  <si>
    <t>NO</t>
  </si>
  <si>
    <t>SrNo</t>
  </si>
  <si>
    <t>Product Name</t>
  </si>
  <si>
    <t>opening stock</t>
  </si>
  <si>
    <t>PRESENT STOCK</t>
  </si>
  <si>
    <t>TOTAL</t>
  </si>
  <si>
    <t>GRAND TOTAL</t>
  </si>
  <si>
    <t>zip smoking white</t>
  </si>
  <si>
    <t>zip smoking orange</t>
  </si>
  <si>
    <t>zip smoking pink</t>
  </si>
  <si>
    <t>zip smoking navy</t>
  </si>
  <si>
    <t>zip smoking black</t>
  </si>
  <si>
    <t xml:space="preserve"> zip smoking red flower</t>
  </si>
  <si>
    <t xml:space="preserve"> zip smoking yellow</t>
  </si>
  <si>
    <t xml:space="preserve"> zip smoking grey</t>
  </si>
  <si>
    <t>dori redblack checks shirt</t>
  </si>
  <si>
    <t>dori black checks shirt</t>
  </si>
  <si>
    <t>dori red checks shirt</t>
  </si>
  <si>
    <t>bsy long jacket middi green</t>
  </si>
  <si>
    <t xml:space="preserve"> bsy long jacket middi pista </t>
  </si>
  <si>
    <t xml:space="preserve"> bsy long jacket wine</t>
  </si>
  <si>
    <t xml:space="preserve"> bsy long jacket orange  </t>
  </si>
  <si>
    <t xml:space="preserve"> bsy long jacket yellow</t>
  </si>
  <si>
    <t xml:space="preserve"> bsy long jacket pink</t>
  </si>
  <si>
    <t xml:space="preserve"> bsy long jacket grey </t>
  </si>
  <si>
    <t xml:space="preserve"> rumali white</t>
  </si>
  <si>
    <t>rumali wine</t>
  </si>
  <si>
    <t>rumali black</t>
  </si>
  <si>
    <t>rumali maroon</t>
  </si>
  <si>
    <t>h/h white maroon</t>
  </si>
  <si>
    <t xml:space="preserve"> h/h white wine</t>
  </si>
  <si>
    <t xml:space="preserve"> h/h white grey</t>
  </si>
  <si>
    <t xml:space="preserve"> h/h white pista</t>
  </si>
  <si>
    <t xml:space="preserve"> h/h white black</t>
  </si>
  <si>
    <t>h/h red grey</t>
  </si>
  <si>
    <t xml:space="preserve"> h/h black green</t>
  </si>
  <si>
    <t xml:space="preserve"> h/h black maroon</t>
  </si>
  <si>
    <t xml:space="preserve"> h/h brown grey</t>
  </si>
  <si>
    <t>h/h black ghasleti</t>
  </si>
  <si>
    <t>h/h red white</t>
  </si>
  <si>
    <t>rib black</t>
  </si>
  <si>
    <t xml:space="preserve">rib grey malinga </t>
  </si>
  <si>
    <t xml:space="preserve">rib blue </t>
  </si>
  <si>
    <t>rib crame</t>
  </si>
  <si>
    <t>OLD STOCK</t>
  </si>
  <si>
    <t>OPENING STOCK</t>
  </si>
  <si>
    <t>SEPTEMBER BALANCE AND OPENING STOCK OCTOBER 2024</t>
  </si>
  <si>
    <t>RTO AND OLD STOCK OCTOBER</t>
  </si>
  <si>
    <t>DTO OCTOBER 2024</t>
  </si>
  <si>
    <t>MASTER GOOD OCOTBER 2024</t>
  </si>
  <si>
    <t>SEPTEMBER BALANCE AND OPENING</t>
  </si>
  <si>
    <r>
      <rPr>
        <b/>
        <sz val="16"/>
        <color rgb="FFFF0000"/>
        <rFont val="Calibri"/>
        <family val="2"/>
        <scheme val="minor"/>
      </rPr>
      <t>IMAGE :</t>
    </r>
    <r>
      <rPr>
        <b/>
        <sz val="14"/>
        <color rgb="FF7030A0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Here company product image is uploaded</t>
    </r>
  </si>
  <si>
    <r>
      <rPr>
        <b/>
        <sz val="16"/>
        <color rgb="FFFF0000"/>
        <rFont val="Calibri"/>
        <family val="2"/>
        <scheme val="minor"/>
      </rPr>
      <t>NO :</t>
    </r>
    <r>
      <rPr>
        <b/>
        <sz val="14"/>
        <color theme="1"/>
        <rFont val="Calibri"/>
        <family val="2"/>
        <scheme val="minor"/>
      </rPr>
      <t xml:space="preserve"> It is an proper image no or we can say unique number of company so according to this all the things we  can identify</t>
    </r>
  </si>
  <si>
    <r>
      <rPr>
        <b/>
        <sz val="16"/>
        <color rgb="FFFF0000"/>
        <rFont val="Calibri"/>
        <family val="2"/>
        <scheme val="minor"/>
      </rPr>
      <t>SrNo :</t>
    </r>
    <r>
      <rPr>
        <b/>
        <sz val="14"/>
        <color theme="1"/>
        <rFont val="Calibri"/>
        <family val="2"/>
        <scheme val="minor"/>
      </rPr>
      <t xml:space="preserve"> Its an simple serial number of each product</t>
    </r>
  </si>
  <si>
    <r>
      <rPr>
        <b/>
        <sz val="16"/>
        <color rgb="FFFF0000"/>
        <rFont val="Calibri"/>
        <family val="2"/>
        <scheme val="minor"/>
      </rPr>
      <t>Product Name :</t>
    </r>
    <r>
      <rPr>
        <b/>
        <sz val="14"/>
        <color theme="1"/>
        <rFont val="Calibri"/>
        <family val="2"/>
        <scheme val="minor"/>
      </rPr>
      <t xml:space="preserve"> it contains product name with there specific colour</t>
    </r>
  </si>
  <si>
    <r>
      <rPr>
        <b/>
        <sz val="16"/>
        <color rgb="FFFF0000"/>
        <rFont val="Calibri"/>
        <family val="2"/>
        <scheme val="minor"/>
      </rPr>
      <t>1-31 SELLING :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It is a selling column this column contain daily sales of company.(1-31 is a date)</t>
    </r>
  </si>
  <si>
    <r>
      <rPr>
        <b/>
        <sz val="16"/>
        <color rgb="FFFF0000"/>
        <rFont val="Calibri"/>
        <family val="2"/>
        <scheme val="minor"/>
      </rPr>
      <t>Opening Stock :</t>
    </r>
    <r>
      <rPr>
        <b/>
        <sz val="14"/>
        <color theme="1"/>
        <rFont val="Calibri"/>
        <family val="2"/>
        <scheme val="minor"/>
      </rPr>
      <t xml:space="preserve"> this contain opening stock means in this column we take (LAST MONTH STOCK + RTO + DTO + MASTER GOODS)                        Let's understand this how this colum will work
1. last month stock = stock which has not sell in last month will continue to this month.
2. RTO = this is company return to orgin orders which will added to company stock.
3. DTO = this is company delivered to orgin orders which will me added to company stock.
4. MASTER GOOD = this is a good which company prepaid daily and it will aslo added to stock.
[='RTO AND OLD STOCK OCTOBER'!AL4+'DTO OCTOBER 2024'!AK4+'MASTER GOOD OCOTBER 2024'!AK4]                                                                      </t>
    </r>
  </si>
  <si>
    <r>
      <rPr>
        <b/>
        <sz val="16"/>
        <color rgb="FFFF0000"/>
        <rFont val="Calibri"/>
        <family val="2"/>
        <scheme val="minor"/>
      </rPr>
      <t>PRESENT STOCK :</t>
    </r>
    <r>
      <rPr>
        <b/>
        <sz val="14"/>
        <color theme="1"/>
        <rFont val="Calibri"/>
        <family val="2"/>
        <scheme val="minor"/>
      </rPr>
      <t xml:space="preserve"> it means after sell how much is now stock is remaning  or we can say todays stock </t>
    </r>
    <r>
      <rPr>
        <b/>
        <sz val="14"/>
        <color rgb="FFFF0000"/>
        <rFont val="Calibri"/>
        <family val="2"/>
        <scheme val="minor"/>
      </rPr>
      <t xml:space="preserve"> (opening stock - 1-31 selling)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                         [=MAX(0,F4-SUM(G4:AK4))]</t>
    </r>
  </si>
  <si>
    <r>
      <rPr>
        <b/>
        <sz val="16"/>
        <color rgb="FFFF0000"/>
        <rFont val="Calibri"/>
        <family val="2"/>
        <scheme val="minor"/>
      </rPr>
      <t>TOTAL =</t>
    </r>
    <r>
      <rPr>
        <b/>
        <sz val="14"/>
        <color theme="1"/>
        <rFont val="Calibri"/>
        <family val="2"/>
        <scheme val="minor"/>
      </rPr>
      <t xml:space="preserve"> this column contains total sale of the month                                        [=SUM(G4:AK4)]</t>
    </r>
  </si>
  <si>
    <r>
      <rPr>
        <b/>
        <sz val="16"/>
        <color rgb="FFFF0000"/>
        <rFont val="Calibri"/>
        <family val="2"/>
        <scheme val="minor"/>
      </rPr>
      <t>GRAND TOTAL :</t>
    </r>
    <r>
      <rPr>
        <b/>
        <sz val="14"/>
        <color theme="1"/>
        <rFont val="Calibri"/>
        <family val="2"/>
        <scheme val="minor"/>
      </rPr>
      <t xml:space="preserve"> this contain parent product total sale count [=SUM(AM4:AM11)]</t>
    </r>
  </si>
  <si>
    <r>
      <rPr>
        <b/>
        <sz val="16"/>
        <color rgb="FFFF0000"/>
        <rFont val="Calibri"/>
        <family val="2"/>
        <scheme val="minor"/>
      </rPr>
      <t>OLD STOCK :</t>
    </r>
    <r>
      <rPr>
        <b/>
        <sz val="14"/>
        <color theme="1"/>
        <rFont val="Calibri"/>
        <family val="2"/>
        <scheme val="minor"/>
      </rPr>
      <t xml:space="preserve"> this column contain last month stock count</t>
    </r>
  </si>
  <si>
    <r>
      <rPr>
        <b/>
        <sz val="16"/>
        <color rgb="FFFF0000"/>
        <rFont val="Calibri"/>
        <family val="2"/>
        <scheme val="minor"/>
      </rPr>
      <t>1-31 RTO :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It is a RTO column this column contain daily return to order of company which will be added to opening stock.(1-31 is a date)</t>
    </r>
  </si>
  <si>
    <r>
      <rPr>
        <b/>
        <sz val="16"/>
        <color rgb="FFFF0000"/>
        <rFont val="Calibri"/>
        <family val="2"/>
        <scheme val="minor"/>
      </rPr>
      <t xml:space="preserve">Opening Stock : </t>
    </r>
    <r>
      <rPr>
        <b/>
        <sz val="14"/>
        <color theme="1"/>
        <rFont val="Calibri"/>
        <family val="2"/>
        <scheme val="minor"/>
      </rPr>
      <t xml:space="preserve"> this column contains last month stock and rto of company and it is a column which has passed on the SEPTEMBER BALANCE AND OPENING sheet                                                                             [=F4+SUM(G4:AK4)]                                                                                             </t>
    </r>
  </si>
  <si>
    <r>
      <rPr>
        <b/>
        <sz val="16"/>
        <color rgb="FFFF0000"/>
        <rFont val="Calibri"/>
        <family val="2"/>
        <scheme val="minor"/>
      </rPr>
      <t>TOTAL =</t>
    </r>
    <r>
      <rPr>
        <b/>
        <sz val="14"/>
        <color theme="1"/>
        <rFont val="Calibri"/>
        <family val="2"/>
        <scheme val="minor"/>
      </rPr>
      <t xml:space="preserve"> this column contains total RTO of the month                                        [=SUM(G4:AK4)]</t>
    </r>
  </si>
  <si>
    <r>
      <rPr>
        <b/>
        <sz val="16"/>
        <color rgb="FFFF0000"/>
        <rFont val="Calibri"/>
        <family val="2"/>
        <scheme val="minor"/>
      </rPr>
      <t>GRAND TOTAL :</t>
    </r>
    <r>
      <rPr>
        <b/>
        <sz val="14"/>
        <color theme="1"/>
        <rFont val="Calibri"/>
        <family val="2"/>
        <scheme val="minor"/>
      </rPr>
      <t xml:space="preserve"> this contain parent product total RTO count [=SUM(AM4:AM11)]</t>
    </r>
  </si>
  <si>
    <t>NO NEED OF THIS COLUMN IN THIS SHEET</t>
  </si>
  <si>
    <t xml:space="preserve">NO NEED OF THIS COLUMN IN THIS SHEET                                     </t>
  </si>
  <si>
    <r>
      <rPr>
        <b/>
        <sz val="16"/>
        <color rgb="FFFF0000"/>
        <rFont val="Calibri"/>
        <family val="2"/>
        <scheme val="minor"/>
      </rPr>
      <t>TOTAL =</t>
    </r>
    <r>
      <rPr>
        <b/>
        <sz val="14"/>
        <color theme="1"/>
        <rFont val="Calibri"/>
        <family val="2"/>
        <scheme val="minor"/>
      </rPr>
      <t xml:space="preserve"> this column contains total DTO of the month                                        [=SUM(F4:AJ4)]</t>
    </r>
  </si>
  <si>
    <r>
      <rPr>
        <b/>
        <sz val="16"/>
        <color rgb="FFFF0000"/>
        <rFont val="Calibri"/>
        <family val="2"/>
        <scheme val="minor"/>
      </rPr>
      <t>GRAND TOTAL :</t>
    </r>
    <r>
      <rPr>
        <b/>
        <sz val="14"/>
        <color theme="1"/>
        <rFont val="Calibri"/>
        <family val="2"/>
        <scheme val="minor"/>
      </rPr>
      <t xml:space="preserve"> this contain parent product total DTO count [=SUM(AK4:AK11)]</t>
    </r>
  </si>
  <si>
    <r>
      <rPr>
        <b/>
        <sz val="16"/>
        <color rgb="FFFF0000"/>
        <rFont val="Calibri"/>
        <family val="2"/>
        <scheme val="minor"/>
      </rPr>
      <t>1-31 DTO :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It is a DTO column this column contain daily delivered to order of company which will be added to opening stock.(1-31 is a date)</t>
    </r>
  </si>
  <si>
    <r>
      <rPr>
        <b/>
        <sz val="16"/>
        <color rgb="FFFF0000"/>
        <rFont val="Calibri"/>
        <family val="2"/>
        <scheme val="minor"/>
      </rPr>
      <t>1-31 MASTER GOODS :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It is a master goods column this column contain daily prepaired order of company which will be added to opening stock.(1-31 is a date)</t>
    </r>
  </si>
  <si>
    <r>
      <rPr>
        <b/>
        <sz val="16"/>
        <color rgb="FFFF0000"/>
        <rFont val="Calibri"/>
        <family val="2"/>
        <scheme val="minor"/>
      </rPr>
      <t>TOTAL =</t>
    </r>
    <r>
      <rPr>
        <b/>
        <sz val="14"/>
        <color theme="1"/>
        <rFont val="Calibri"/>
        <family val="2"/>
        <scheme val="minor"/>
      </rPr>
      <t xml:space="preserve"> this column contains total master good of the month                                        [=SUM(F4:AJ4)]</t>
    </r>
  </si>
  <si>
    <r>
      <rPr>
        <b/>
        <sz val="16"/>
        <color rgb="FFFF0000"/>
        <rFont val="Calibri"/>
        <family val="2"/>
        <scheme val="minor"/>
      </rPr>
      <t>GRAND TOTAL :</t>
    </r>
    <r>
      <rPr>
        <b/>
        <sz val="14"/>
        <color theme="1"/>
        <rFont val="Calibri"/>
        <family val="2"/>
        <scheme val="minor"/>
      </rPr>
      <t xml:space="preserve"> this contain parent product total master good  count [=SUM(AK4:AK11)]</t>
    </r>
  </si>
  <si>
    <t>This project is a demonstration model prepared using simulated data to ensure data privacy and confidentiality. The original implementation supports multiple firm-level data management integrated into a parent company structure with comprehensive inventory, sales, and reconciliation tracking.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</si>
</sst>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6"/>
      <color rgb="FF7030A0"/>
      <name val="Calibri"/>
      <family val="2"/>
      <scheme val="minor"/>
    </font>
    <font>
      <b/>
      <sz val="26"/>
      <color rgb="FF7030A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24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2" borderId="0" applyNumberFormat="0" applyBorder="0" applyAlignment="0" applyProtection="0"/>
  </cellStyleXfs>
  <cellXfs count="55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9" fillId="2" borderId="22" xfId="1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top" wrapText="1"/>
    </xf>
    <xf numFmtId="0" fontId="10" fillId="0" borderId="24" xfId="0" applyFont="1" applyBorder="1" applyAlignment="1">
      <alignment horizontal="left" vertical="top" wrapText="1"/>
    </xf>
    <xf numFmtId="0" fontId="0" fillId="0" borderId="14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8.jpeg"/><Relationship Id="rId1" Type="http://schemas.openxmlformats.org/officeDocument/2006/relationships/image" Target="../media/image1.jpeg"/><Relationship Id="rId6" Type="http://schemas.openxmlformats.org/officeDocument/2006/relationships/image" Target="../media/image11.jpeg"/><Relationship Id="rId5" Type="http://schemas.openxmlformats.org/officeDocument/2006/relationships/image" Target="../media/image10.jpeg"/><Relationship Id="rId4" Type="http://schemas.openxmlformats.org/officeDocument/2006/relationships/image" Target="../media/image9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2.jpeg"/><Relationship Id="rId6" Type="http://schemas.openxmlformats.org/officeDocument/2006/relationships/image" Target="../media/image14.jpeg"/><Relationship Id="rId5" Type="http://schemas.openxmlformats.org/officeDocument/2006/relationships/image" Target="../media/image1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2</xdr:col>
      <xdr:colOff>0</xdr:colOff>
      <xdr:row>36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33A4031-B165-4F60-B6B5-798D4217BAEB}"/>
            </a:ext>
          </a:extLst>
        </xdr:cNvPr>
        <xdr:cNvSpPr/>
      </xdr:nvSpPr>
      <xdr:spPr>
        <a:xfrm>
          <a:off x="0" y="5334000"/>
          <a:ext cx="1143000" cy="222885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2</xdr:col>
      <xdr:colOff>0</xdr:colOff>
      <xdr:row>40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CA37260-1D97-47A8-A92C-7F0FEAC1E1D1}"/>
            </a:ext>
          </a:extLst>
        </xdr:cNvPr>
        <xdr:cNvSpPr/>
      </xdr:nvSpPr>
      <xdr:spPr>
        <a:xfrm>
          <a:off x="0" y="7562850"/>
          <a:ext cx="1143000" cy="8001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21</xdr:row>
      <xdr:rowOff>0</xdr:rowOff>
    </xdr:from>
    <xdr:to>
      <xdr:col>2</xdr:col>
      <xdr:colOff>0</xdr:colOff>
      <xdr:row>25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A603A65-7322-4BFA-90BD-AF3D40BCDBBF}"/>
            </a:ext>
          </a:extLst>
        </xdr:cNvPr>
        <xdr:cNvSpPr/>
      </xdr:nvSpPr>
      <xdr:spPr>
        <a:xfrm>
          <a:off x="0" y="4533900"/>
          <a:ext cx="1143000" cy="80010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11</xdr:row>
      <xdr:rowOff>0</xdr:rowOff>
    </xdr:from>
    <xdr:to>
      <xdr:col>2</xdr:col>
      <xdr:colOff>0</xdr:colOff>
      <xdr:row>14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CE6DADC-6992-4070-9AE7-9AACCCFCFDDC}"/>
            </a:ext>
          </a:extLst>
        </xdr:cNvPr>
        <xdr:cNvSpPr/>
      </xdr:nvSpPr>
      <xdr:spPr>
        <a:xfrm>
          <a:off x="0" y="2533650"/>
          <a:ext cx="1143000" cy="60007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85725</xdr:colOff>
      <xdr:row>3</xdr:row>
      <xdr:rowOff>57150</xdr:rowOff>
    </xdr:from>
    <xdr:to>
      <xdr:col>1</xdr:col>
      <xdr:colOff>590550</xdr:colOff>
      <xdr:row>11</xdr:row>
      <xdr:rowOff>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440D30A-2A58-4C7C-A7D4-1BBE13F9EDF8}"/>
            </a:ext>
          </a:extLst>
        </xdr:cNvPr>
        <xdr:cNvSpPr/>
      </xdr:nvSpPr>
      <xdr:spPr>
        <a:xfrm>
          <a:off x="85725" y="990600"/>
          <a:ext cx="1057275" cy="1543051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14</xdr:row>
      <xdr:rowOff>0</xdr:rowOff>
    </xdr:from>
    <xdr:to>
      <xdr:col>2</xdr:col>
      <xdr:colOff>0</xdr:colOff>
      <xdr:row>21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6A842A5-08AA-4E7A-8898-295E0AC6C668}"/>
            </a:ext>
          </a:extLst>
        </xdr:cNvPr>
        <xdr:cNvSpPr/>
      </xdr:nvSpPr>
      <xdr:spPr>
        <a:xfrm>
          <a:off x="0" y="3133725"/>
          <a:ext cx="1143000" cy="140017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2</xdr:col>
      <xdr:colOff>0</xdr:colOff>
      <xdr:row>36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00A8B11-8874-45E7-9C34-8BDB360C2274}"/>
            </a:ext>
          </a:extLst>
        </xdr:cNvPr>
        <xdr:cNvSpPr/>
      </xdr:nvSpPr>
      <xdr:spPr>
        <a:xfrm>
          <a:off x="0" y="5095875"/>
          <a:ext cx="1143000" cy="220027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2</xdr:col>
      <xdr:colOff>0</xdr:colOff>
      <xdr:row>40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0C8D1CC-472E-4F40-974B-AA46E793C9A4}"/>
            </a:ext>
          </a:extLst>
        </xdr:cNvPr>
        <xdr:cNvSpPr/>
      </xdr:nvSpPr>
      <xdr:spPr>
        <a:xfrm>
          <a:off x="0" y="7296150"/>
          <a:ext cx="1143000" cy="8001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21</xdr:row>
      <xdr:rowOff>0</xdr:rowOff>
    </xdr:from>
    <xdr:to>
      <xdr:col>2</xdr:col>
      <xdr:colOff>0</xdr:colOff>
      <xdr:row>25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5DEB668-4430-4EE0-9111-93F9EDA08B94}"/>
            </a:ext>
          </a:extLst>
        </xdr:cNvPr>
        <xdr:cNvSpPr/>
      </xdr:nvSpPr>
      <xdr:spPr>
        <a:xfrm>
          <a:off x="0" y="4295775"/>
          <a:ext cx="1143000" cy="80010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11</xdr:row>
      <xdr:rowOff>0</xdr:rowOff>
    </xdr:from>
    <xdr:to>
      <xdr:col>2</xdr:col>
      <xdr:colOff>0</xdr:colOff>
      <xdr:row>14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447EF53-3018-4B0F-9FB5-D1B7CE2417EC}"/>
            </a:ext>
          </a:extLst>
        </xdr:cNvPr>
        <xdr:cNvSpPr/>
      </xdr:nvSpPr>
      <xdr:spPr>
        <a:xfrm>
          <a:off x="0" y="2295525"/>
          <a:ext cx="1143000" cy="60007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85725</xdr:colOff>
      <xdr:row>3</xdr:row>
      <xdr:rowOff>57150</xdr:rowOff>
    </xdr:from>
    <xdr:to>
      <xdr:col>1</xdr:col>
      <xdr:colOff>590550</xdr:colOff>
      <xdr:row>11</xdr:row>
      <xdr:rowOff>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3110CB5-120E-409A-84ED-55588555A3F7}"/>
            </a:ext>
          </a:extLst>
        </xdr:cNvPr>
        <xdr:cNvSpPr/>
      </xdr:nvSpPr>
      <xdr:spPr>
        <a:xfrm>
          <a:off x="85725" y="752475"/>
          <a:ext cx="1057275" cy="1543051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14</xdr:row>
      <xdr:rowOff>0</xdr:rowOff>
    </xdr:from>
    <xdr:to>
      <xdr:col>2</xdr:col>
      <xdr:colOff>0</xdr:colOff>
      <xdr:row>21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7DB8EB0-E1C4-40FC-90B7-30054336BA85}"/>
            </a:ext>
          </a:extLst>
        </xdr:cNvPr>
        <xdr:cNvSpPr/>
      </xdr:nvSpPr>
      <xdr:spPr>
        <a:xfrm>
          <a:off x="0" y="2895600"/>
          <a:ext cx="1143000" cy="140017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2</xdr:col>
      <xdr:colOff>0</xdr:colOff>
      <xdr:row>36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2CDE58B-F84D-4D38-AABE-188A8AA60885}"/>
            </a:ext>
          </a:extLst>
        </xdr:cNvPr>
        <xdr:cNvSpPr/>
      </xdr:nvSpPr>
      <xdr:spPr>
        <a:xfrm>
          <a:off x="0" y="5133975"/>
          <a:ext cx="1143000" cy="220980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2</xdr:col>
      <xdr:colOff>0</xdr:colOff>
      <xdr:row>40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31813DD-464F-4639-9AE2-B9C500DBA9FD}"/>
            </a:ext>
          </a:extLst>
        </xdr:cNvPr>
        <xdr:cNvSpPr/>
      </xdr:nvSpPr>
      <xdr:spPr>
        <a:xfrm>
          <a:off x="0" y="7343775"/>
          <a:ext cx="1143000" cy="8096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21</xdr:row>
      <xdr:rowOff>0</xdr:rowOff>
    </xdr:from>
    <xdr:to>
      <xdr:col>2</xdr:col>
      <xdr:colOff>0</xdr:colOff>
      <xdr:row>25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ABC671E-A930-4867-BEC6-22A629286A1E}"/>
            </a:ext>
          </a:extLst>
        </xdr:cNvPr>
        <xdr:cNvSpPr/>
      </xdr:nvSpPr>
      <xdr:spPr>
        <a:xfrm>
          <a:off x="0" y="4324350"/>
          <a:ext cx="1143000" cy="8096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11</xdr:row>
      <xdr:rowOff>0</xdr:rowOff>
    </xdr:from>
    <xdr:to>
      <xdr:col>2</xdr:col>
      <xdr:colOff>0</xdr:colOff>
      <xdr:row>14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625F1F7-8477-46C0-A996-2FEE5777BCFB}"/>
            </a:ext>
          </a:extLst>
        </xdr:cNvPr>
        <xdr:cNvSpPr/>
      </xdr:nvSpPr>
      <xdr:spPr>
        <a:xfrm>
          <a:off x="0" y="2305050"/>
          <a:ext cx="1143000" cy="60960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85725</xdr:colOff>
      <xdr:row>3</xdr:row>
      <xdr:rowOff>57150</xdr:rowOff>
    </xdr:from>
    <xdr:to>
      <xdr:col>1</xdr:col>
      <xdr:colOff>590550</xdr:colOff>
      <xdr:row>11</xdr:row>
      <xdr:rowOff>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2F74661-4B64-4EA4-89D5-AC4D272E0CF7}"/>
            </a:ext>
          </a:extLst>
        </xdr:cNvPr>
        <xdr:cNvSpPr/>
      </xdr:nvSpPr>
      <xdr:spPr>
        <a:xfrm>
          <a:off x="85725" y="752475"/>
          <a:ext cx="1057275" cy="1552576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14</xdr:row>
      <xdr:rowOff>0</xdr:rowOff>
    </xdr:from>
    <xdr:to>
      <xdr:col>2</xdr:col>
      <xdr:colOff>0</xdr:colOff>
      <xdr:row>21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0900C34-4728-46C9-91ED-2DDF7FDD74FD}"/>
            </a:ext>
          </a:extLst>
        </xdr:cNvPr>
        <xdr:cNvSpPr/>
      </xdr:nvSpPr>
      <xdr:spPr>
        <a:xfrm>
          <a:off x="0" y="2914650"/>
          <a:ext cx="1143000" cy="140970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2</xdr:col>
      <xdr:colOff>0</xdr:colOff>
      <xdr:row>36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0B90FA2-1E5B-4190-BAF8-B7A507B79FB8}"/>
            </a:ext>
          </a:extLst>
        </xdr:cNvPr>
        <xdr:cNvSpPr/>
      </xdr:nvSpPr>
      <xdr:spPr>
        <a:xfrm>
          <a:off x="0" y="5133975"/>
          <a:ext cx="1143000" cy="220980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36</xdr:row>
      <xdr:rowOff>0</xdr:rowOff>
    </xdr:from>
    <xdr:to>
      <xdr:col>2</xdr:col>
      <xdr:colOff>0</xdr:colOff>
      <xdr:row>40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C758F36-9980-4C69-8DF7-32CDB1677146}"/>
            </a:ext>
          </a:extLst>
        </xdr:cNvPr>
        <xdr:cNvSpPr/>
      </xdr:nvSpPr>
      <xdr:spPr>
        <a:xfrm>
          <a:off x="0" y="7343775"/>
          <a:ext cx="1143000" cy="8096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21</xdr:row>
      <xdr:rowOff>0</xdr:rowOff>
    </xdr:from>
    <xdr:to>
      <xdr:col>2</xdr:col>
      <xdr:colOff>0</xdr:colOff>
      <xdr:row>25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188F358-4DA2-4D40-8AD9-65144D09DE85}"/>
            </a:ext>
          </a:extLst>
        </xdr:cNvPr>
        <xdr:cNvSpPr/>
      </xdr:nvSpPr>
      <xdr:spPr>
        <a:xfrm>
          <a:off x="0" y="4324350"/>
          <a:ext cx="1143000" cy="8096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11</xdr:row>
      <xdr:rowOff>0</xdr:rowOff>
    </xdr:from>
    <xdr:to>
      <xdr:col>2</xdr:col>
      <xdr:colOff>0</xdr:colOff>
      <xdr:row>14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68FA8E4-22DA-4911-9562-30C64CBD9359}"/>
            </a:ext>
          </a:extLst>
        </xdr:cNvPr>
        <xdr:cNvSpPr/>
      </xdr:nvSpPr>
      <xdr:spPr>
        <a:xfrm>
          <a:off x="0" y="2305050"/>
          <a:ext cx="1143000" cy="60960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85725</xdr:colOff>
      <xdr:row>3</xdr:row>
      <xdr:rowOff>57150</xdr:rowOff>
    </xdr:from>
    <xdr:to>
      <xdr:col>1</xdr:col>
      <xdr:colOff>590550</xdr:colOff>
      <xdr:row>11</xdr:row>
      <xdr:rowOff>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EB000B0-2FF7-41D8-8B06-F882E25D1D49}"/>
            </a:ext>
          </a:extLst>
        </xdr:cNvPr>
        <xdr:cNvSpPr/>
      </xdr:nvSpPr>
      <xdr:spPr>
        <a:xfrm>
          <a:off x="85725" y="752475"/>
          <a:ext cx="1057275" cy="1552576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14</xdr:row>
      <xdr:rowOff>0</xdr:rowOff>
    </xdr:from>
    <xdr:to>
      <xdr:col>2</xdr:col>
      <xdr:colOff>0</xdr:colOff>
      <xdr:row>21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38C5BE8-DD3E-46E3-B7D8-87437099BB98}"/>
            </a:ext>
          </a:extLst>
        </xdr:cNvPr>
        <xdr:cNvSpPr/>
      </xdr:nvSpPr>
      <xdr:spPr>
        <a:xfrm>
          <a:off x="0" y="2914650"/>
          <a:ext cx="1143000" cy="140970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D9C62-DB39-4430-84E9-FC482D38EBC2}">
  <dimension ref="C3:C12"/>
  <sheetViews>
    <sheetView topLeftCell="B1" workbookViewId="0">
      <selection activeCell="C13" sqref="C13"/>
    </sheetView>
  </sheetViews>
  <sheetFormatPr defaultRowHeight="14.4" x14ac:dyDescent="0.3"/>
  <cols>
    <col min="3" max="3" width="255.6640625" bestFit="1" customWidth="1"/>
  </cols>
  <sheetData>
    <row r="3" spans="3:3" ht="94.5" customHeight="1" x14ac:dyDescent="0.3">
      <c r="C3" s="24" t="s">
        <v>74</v>
      </c>
    </row>
    <row r="4" spans="3:3" x14ac:dyDescent="0.3">
      <c r="C4" s="24"/>
    </row>
    <row r="5" spans="3:3" x14ac:dyDescent="0.3">
      <c r="C5" s="24"/>
    </row>
    <row r="6" spans="3:3" x14ac:dyDescent="0.3">
      <c r="C6" s="24"/>
    </row>
    <row r="7" spans="3:3" x14ac:dyDescent="0.3">
      <c r="C7" s="24"/>
    </row>
    <row r="8" spans="3:3" x14ac:dyDescent="0.3">
      <c r="C8" s="24"/>
    </row>
    <row r="9" spans="3:3" x14ac:dyDescent="0.3">
      <c r="C9" s="24"/>
    </row>
    <row r="10" spans="3:3" x14ac:dyDescent="0.3">
      <c r="C10" s="24"/>
    </row>
    <row r="11" spans="3:3" x14ac:dyDescent="0.3">
      <c r="C11" s="24"/>
    </row>
    <row r="12" spans="3:3" x14ac:dyDescent="0.3">
      <c r="C12" s="24"/>
    </row>
  </sheetData>
  <mergeCells count="1">
    <mergeCell ref="C3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78F8-2963-4034-9AC6-BEB1309C3B26}">
  <dimension ref="A1:H20"/>
  <sheetViews>
    <sheetView zoomScaleNormal="100" workbookViewId="0">
      <selection activeCell="B2" sqref="B2"/>
    </sheetView>
  </sheetViews>
  <sheetFormatPr defaultRowHeight="14.4" x14ac:dyDescent="0.3"/>
  <cols>
    <col min="2" max="2" width="81.109375" bestFit="1" customWidth="1"/>
    <col min="3" max="3" width="3" customWidth="1"/>
    <col min="4" max="4" width="81.109375" bestFit="1" customWidth="1"/>
    <col min="5" max="5" width="3.33203125" customWidth="1"/>
    <col min="6" max="6" width="81.109375" bestFit="1" customWidth="1"/>
    <col min="7" max="7" width="4.109375" customWidth="1"/>
    <col min="8" max="8" width="81.109375" bestFit="1" customWidth="1"/>
  </cols>
  <sheetData>
    <row r="1" spans="1:8" ht="15" thickBot="1" x14ac:dyDescent="0.35"/>
    <row r="2" spans="1:8" ht="24" thickBot="1" x14ac:dyDescent="0.35">
      <c r="B2" s="23" t="s">
        <v>51</v>
      </c>
      <c r="D2" s="23" t="s">
        <v>48</v>
      </c>
      <c r="F2" s="23" t="s">
        <v>49</v>
      </c>
      <c r="H2" s="23" t="s">
        <v>50</v>
      </c>
    </row>
    <row r="3" spans="1:8" ht="15.75" customHeight="1" x14ac:dyDescent="0.3">
      <c r="A3" s="37"/>
      <c r="B3" s="29" t="s">
        <v>52</v>
      </c>
      <c r="D3" s="29" t="s">
        <v>52</v>
      </c>
      <c r="F3" s="29" t="s">
        <v>52</v>
      </c>
      <c r="H3" s="29" t="s">
        <v>52</v>
      </c>
    </row>
    <row r="4" spans="1:8" ht="15.75" customHeight="1" thickBot="1" x14ac:dyDescent="0.35">
      <c r="A4" s="37"/>
      <c r="B4" s="30"/>
      <c r="D4" s="30"/>
      <c r="F4" s="30"/>
      <c r="H4" s="30"/>
    </row>
    <row r="5" spans="1:8" ht="19.5" customHeight="1" x14ac:dyDescent="0.3">
      <c r="A5" s="37"/>
      <c r="B5" s="31" t="s">
        <v>53</v>
      </c>
      <c r="D5" s="31" t="s">
        <v>53</v>
      </c>
      <c r="F5" s="31" t="s">
        <v>53</v>
      </c>
      <c r="H5" s="31" t="s">
        <v>53</v>
      </c>
    </row>
    <row r="6" spans="1:8" ht="27" customHeight="1" thickBot="1" x14ac:dyDescent="0.35">
      <c r="A6" s="37"/>
      <c r="B6" s="32"/>
      <c r="D6" s="32"/>
      <c r="F6" s="32"/>
      <c r="H6" s="32"/>
    </row>
    <row r="7" spans="1:8" ht="19.5" customHeight="1" x14ac:dyDescent="0.3">
      <c r="A7" s="37"/>
      <c r="B7" s="25" t="s">
        <v>54</v>
      </c>
      <c r="D7" s="25" t="s">
        <v>54</v>
      </c>
      <c r="F7" s="25" t="s">
        <v>54</v>
      </c>
      <c r="H7" s="25" t="s">
        <v>54</v>
      </c>
    </row>
    <row r="8" spans="1:8" ht="15.75" customHeight="1" thickBot="1" x14ac:dyDescent="0.35">
      <c r="A8" s="37"/>
      <c r="B8" s="26"/>
      <c r="D8" s="26"/>
      <c r="F8" s="26"/>
      <c r="H8" s="26"/>
    </row>
    <row r="9" spans="1:8" ht="32.25" customHeight="1" x14ac:dyDescent="0.3">
      <c r="A9" s="37"/>
      <c r="B9" s="25" t="s">
        <v>55</v>
      </c>
      <c r="D9" s="25" t="s">
        <v>55</v>
      </c>
      <c r="F9" s="25" t="s">
        <v>55</v>
      </c>
      <c r="H9" s="25" t="s">
        <v>55</v>
      </c>
    </row>
    <row r="10" spans="1:8" ht="15.75" customHeight="1" thickBot="1" x14ac:dyDescent="0.35">
      <c r="A10" s="37"/>
      <c r="B10" s="26"/>
      <c r="D10" s="26"/>
      <c r="F10" s="26"/>
      <c r="H10" s="26"/>
    </row>
    <row r="11" spans="1:8" ht="19.5" customHeight="1" x14ac:dyDescent="0.3">
      <c r="A11" s="37"/>
      <c r="B11" s="25" t="s">
        <v>57</v>
      </c>
      <c r="D11" s="35" t="s">
        <v>61</v>
      </c>
      <c r="F11" s="27" t="s">
        <v>66</v>
      </c>
      <c r="H11" s="27" t="s">
        <v>66</v>
      </c>
    </row>
    <row r="12" spans="1:8" ht="237" customHeight="1" thickBot="1" x14ac:dyDescent="0.35">
      <c r="A12" s="37"/>
      <c r="B12" s="26"/>
      <c r="D12" s="36"/>
      <c r="F12" s="28"/>
      <c r="H12" s="28"/>
    </row>
    <row r="13" spans="1:8" ht="19.5" customHeight="1" x14ac:dyDescent="0.3">
      <c r="A13" s="37"/>
      <c r="B13" s="33" t="s">
        <v>56</v>
      </c>
      <c r="D13" s="33" t="s">
        <v>62</v>
      </c>
      <c r="F13" s="33" t="s">
        <v>70</v>
      </c>
      <c r="H13" s="33" t="s">
        <v>71</v>
      </c>
    </row>
    <row r="14" spans="1:8" ht="37.5" customHeight="1" thickBot="1" x14ac:dyDescent="0.35">
      <c r="A14" s="37"/>
      <c r="B14" s="26"/>
      <c r="D14" s="26"/>
      <c r="F14" s="34"/>
      <c r="H14" s="34"/>
    </row>
    <row r="15" spans="1:8" ht="15" customHeight="1" x14ac:dyDescent="0.3">
      <c r="A15" s="37"/>
      <c r="B15" s="25" t="s">
        <v>58</v>
      </c>
      <c r="D15" s="25" t="s">
        <v>63</v>
      </c>
      <c r="F15" s="27" t="s">
        <v>67</v>
      </c>
      <c r="H15" s="27" t="s">
        <v>67</v>
      </c>
    </row>
    <row r="16" spans="1:8" ht="63.75" customHeight="1" thickBot="1" x14ac:dyDescent="0.35">
      <c r="A16" s="37"/>
      <c r="B16" s="26"/>
      <c r="D16" s="26"/>
      <c r="F16" s="28"/>
      <c r="H16" s="28"/>
    </row>
    <row r="17" spans="1:8" ht="19.5" customHeight="1" x14ac:dyDescent="0.3">
      <c r="A17" s="37"/>
      <c r="B17" s="25" t="s">
        <v>59</v>
      </c>
      <c r="D17" s="25" t="s">
        <v>64</v>
      </c>
      <c r="F17" s="25" t="s">
        <v>68</v>
      </c>
      <c r="H17" s="25" t="s">
        <v>72</v>
      </c>
    </row>
    <row r="18" spans="1:8" ht="22.5" customHeight="1" thickBot="1" x14ac:dyDescent="0.35">
      <c r="A18" s="37"/>
      <c r="B18" s="26"/>
      <c r="D18" s="26"/>
      <c r="F18" s="26"/>
      <c r="H18" s="26"/>
    </row>
    <row r="19" spans="1:8" ht="16.5" customHeight="1" x14ac:dyDescent="0.3">
      <c r="A19" s="37"/>
      <c r="B19" s="25" t="s">
        <v>60</v>
      </c>
      <c r="D19" s="25" t="s">
        <v>65</v>
      </c>
      <c r="F19" s="25" t="s">
        <v>69</v>
      </c>
      <c r="H19" s="25" t="s">
        <v>73</v>
      </c>
    </row>
    <row r="20" spans="1:8" ht="21" customHeight="1" thickBot="1" x14ac:dyDescent="0.35">
      <c r="A20" s="37"/>
      <c r="B20" s="26"/>
      <c r="D20" s="26"/>
      <c r="F20" s="26"/>
      <c r="H20" s="26"/>
    </row>
  </sheetData>
  <mergeCells count="45">
    <mergeCell ref="B13:B14"/>
    <mergeCell ref="B3:B4"/>
    <mergeCell ref="B5:B6"/>
    <mergeCell ref="B7:B8"/>
    <mergeCell ref="B9:B10"/>
    <mergeCell ref="B11:B12"/>
    <mergeCell ref="A17:A18"/>
    <mergeCell ref="A19:A20"/>
    <mergeCell ref="D3:D4"/>
    <mergeCell ref="D5:D6"/>
    <mergeCell ref="D7:D8"/>
    <mergeCell ref="D9:D10"/>
    <mergeCell ref="B15:B16"/>
    <mergeCell ref="B17:B18"/>
    <mergeCell ref="B19:B20"/>
    <mergeCell ref="A3:A4"/>
    <mergeCell ref="A5:A6"/>
    <mergeCell ref="A7:A8"/>
    <mergeCell ref="A9:A10"/>
    <mergeCell ref="A11:A12"/>
    <mergeCell ref="A13:A14"/>
    <mergeCell ref="A15:A16"/>
    <mergeCell ref="D11:D12"/>
    <mergeCell ref="D13:D14"/>
    <mergeCell ref="D15:D16"/>
    <mergeCell ref="D17:D18"/>
    <mergeCell ref="D19:D20"/>
    <mergeCell ref="H13:H14"/>
    <mergeCell ref="H15:H16"/>
    <mergeCell ref="F3:F4"/>
    <mergeCell ref="F5:F6"/>
    <mergeCell ref="F7:F8"/>
    <mergeCell ref="F9:F10"/>
    <mergeCell ref="F11:F12"/>
    <mergeCell ref="F13:F14"/>
    <mergeCell ref="H3:H4"/>
    <mergeCell ref="H5:H6"/>
    <mergeCell ref="H7:H8"/>
    <mergeCell ref="H9:H10"/>
    <mergeCell ref="H11:H12"/>
    <mergeCell ref="H17:H18"/>
    <mergeCell ref="H19:H20"/>
    <mergeCell ref="F15:F16"/>
    <mergeCell ref="F17:F18"/>
    <mergeCell ref="F19:F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6FA9-47EA-4B88-B3EC-6A1849C7C76C}">
  <dimension ref="A1:AN40"/>
  <sheetViews>
    <sheetView topLeftCell="A8" zoomScaleNormal="100" workbookViewId="0">
      <selection activeCell="F30" sqref="F30"/>
    </sheetView>
  </sheetViews>
  <sheetFormatPr defaultRowHeight="14.4" x14ac:dyDescent="0.3"/>
  <cols>
    <col min="1" max="2" width="8.5546875" customWidth="1"/>
    <col min="3" max="3" width="9.88671875" bestFit="1" customWidth="1"/>
    <col min="4" max="4" width="8.5546875" customWidth="1"/>
    <col min="5" max="5" width="44.5546875" bestFit="1" customWidth="1"/>
    <col min="6" max="6" width="17.109375" bestFit="1" customWidth="1"/>
    <col min="7" max="7" width="11.109375" bestFit="1" customWidth="1"/>
    <col min="37" max="37" width="17.33203125" bestFit="1" customWidth="1"/>
    <col min="38" max="38" width="16.44140625" bestFit="1" customWidth="1"/>
    <col min="39" max="39" width="16.6640625" bestFit="1" customWidth="1"/>
    <col min="40" max="40" width="15.109375" bestFit="1" customWidth="1"/>
  </cols>
  <sheetData>
    <row r="1" spans="1:40" ht="15" thickBot="1" x14ac:dyDescent="0.35"/>
    <row r="2" spans="1:40" ht="18.600000000000001" thickBot="1" x14ac:dyDescent="0.35">
      <c r="A2" s="47" t="s">
        <v>47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9"/>
    </row>
    <row r="3" spans="1:40" ht="18.600000000000001" thickBot="1" x14ac:dyDescent="0.35">
      <c r="A3" s="47" t="s">
        <v>0</v>
      </c>
      <c r="B3" s="48"/>
      <c r="C3" s="1" t="s">
        <v>1</v>
      </c>
      <c r="D3" s="2" t="s">
        <v>2</v>
      </c>
      <c r="E3" s="3" t="s">
        <v>3</v>
      </c>
      <c r="F3" s="3" t="s">
        <v>4</v>
      </c>
      <c r="G3" s="4">
        <v>1</v>
      </c>
      <c r="H3" s="4">
        <v>2</v>
      </c>
      <c r="I3" s="4">
        <v>3</v>
      </c>
      <c r="J3" s="4">
        <v>4</v>
      </c>
      <c r="K3" s="4">
        <v>5</v>
      </c>
      <c r="L3" s="4">
        <v>6</v>
      </c>
      <c r="M3" s="4">
        <v>7</v>
      </c>
      <c r="N3" s="4">
        <v>8</v>
      </c>
      <c r="O3" s="4">
        <v>9</v>
      </c>
      <c r="P3" s="4">
        <v>10</v>
      </c>
      <c r="Q3" s="4">
        <v>11</v>
      </c>
      <c r="R3" s="4">
        <v>12</v>
      </c>
      <c r="S3" s="4">
        <v>13</v>
      </c>
      <c r="T3" s="4">
        <v>14</v>
      </c>
      <c r="U3" s="4">
        <v>15</v>
      </c>
      <c r="V3" s="4">
        <v>16</v>
      </c>
      <c r="W3" s="4">
        <v>17</v>
      </c>
      <c r="X3" s="4">
        <v>18</v>
      </c>
      <c r="Y3" s="4">
        <v>19</v>
      </c>
      <c r="Z3" s="4">
        <v>20</v>
      </c>
      <c r="AA3" s="4">
        <v>21</v>
      </c>
      <c r="AB3" s="4">
        <v>22</v>
      </c>
      <c r="AC3" s="4">
        <v>23</v>
      </c>
      <c r="AD3" s="4">
        <v>24</v>
      </c>
      <c r="AE3" s="4">
        <v>25</v>
      </c>
      <c r="AF3" s="4">
        <v>26</v>
      </c>
      <c r="AG3" s="4">
        <v>27</v>
      </c>
      <c r="AH3" s="4">
        <v>28</v>
      </c>
      <c r="AI3" s="4">
        <v>29</v>
      </c>
      <c r="AJ3" s="4">
        <v>30</v>
      </c>
      <c r="AK3" s="4">
        <v>31</v>
      </c>
      <c r="AL3" s="4" t="s">
        <v>5</v>
      </c>
      <c r="AM3" s="4" t="s">
        <v>6</v>
      </c>
      <c r="AN3" s="5" t="s">
        <v>7</v>
      </c>
    </row>
    <row r="4" spans="1:40" ht="15.6" x14ac:dyDescent="0.3">
      <c r="A4" s="50"/>
      <c r="B4" s="50"/>
      <c r="C4" s="45">
        <v>1</v>
      </c>
      <c r="D4" s="6">
        <v>1</v>
      </c>
      <c r="E4" s="7" t="s">
        <v>8</v>
      </c>
      <c r="F4" s="8">
        <f>'RTO AND OLD STOCK OCTOBER'!AL4+'DTO OCTOBER 2024'!AK4+'MASTER GOOD OCOTBER 2024'!AK4</f>
        <v>50004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20000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8">
        <f>MAX(0,F4-SUM(G4:AK4))</f>
        <v>30004</v>
      </c>
      <c r="AM4" s="10">
        <f>SUM(G4:AK4)</f>
        <v>20000</v>
      </c>
      <c r="AN4" s="44">
        <f>SUM(AM4:AM11)</f>
        <v>20066</v>
      </c>
    </row>
    <row r="5" spans="1:40" ht="15.6" x14ac:dyDescent="0.3">
      <c r="A5" s="50"/>
      <c r="B5" s="50"/>
      <c r="C5" s="45"/>
      <c r="D5" s="11">
        <v>2</v>
      </c>
      <c r="E5" s="12" t="s">
        <v>9</v>
      </c>
      <c r="F5" s="8">
        <f>'RTO AND OLD STOCK OCTOBER'!AL5+'DTO OCTOBER 2024'!AK5+'MASTER GOOD OCOTBER 2024'!AK5</f>
        <v>1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1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8">
        <f t="shared" ref="AL5:AL40" si="0">MAX(0,F5-SUM(G5:AK5))</f>
        <v>0</v>
      </c>
      <c r="AM5" s="10">
        <f t="shared" ref="AM5:AM40" si="1">SUM(G5:AK5)</f>
        <v>1</v>
      </c>
      <c r="AN5" s="45"/>
    </row>
    <row r="6" spans="1:40" ht="15.6" x14ac:dyDescent="0.3">
      <c r="A6" s="51"/>
      <c r="B6" s="52"/>
      <c r="C6" s="45"/>
      <c r="D6" s="6">
        <v>3</v>
      </c>
      <c r="E6" s="12" t="s">
        <v>10</v>
      </c>
      <c r="F6" s="8">
        <f>'RTO AND OLD STOCK OCTOBER'!AL6+'DTO OCTOBER 2024'!AK6+'MASTER GOOD OCOTBER 2024'!AK6</f>
        <v>25</v>
      </c>
      <c r="G6" s="9">
        <v>3</v>
      </c>
      <c r="H6" s="9">
        <v>2</v>
      </c>
      <c r="I6" s="9">
        <v>1</v>
      </c>
      <c r="J6" s="9">
        <v>0</v>
      </c>
      <c r="K6" s="9">
        <v>0</v>
      </c>
      <c r="L6" s="9">
        <v>2</v>
      </c>
      <c r="M6" s="9">
        <v>0</v>
      </c>
      <c r="N6" s="9">
        <v>1</v>
      </c>
      <c r="O6" s="9">
        <v>0</v>
      </c>
      <c r="P6" s="9">
        <v>1</v>
      </c>
      <c r="Q6" s="9">
        <v>0</v>
      </c>
      <c r="R6" s="9">
        <v>0</v>
      </c>
      <c r="S6" s="9">
        <v>3</v>
      </c>
      <c r="T6" s="9">
        <v>0</v>
      </c>
      <c r="U6" s="9">
        <v>0</v>
      </c>
      <c r="V6" s="9">
        <v>0</v>
      </c>
      <c r="W6" s="9">
        <v>1</v>
      </c>
      <c r="X6" s="9">
        <v>0</v>
      </c>
      <c r="Y6" s="9">
        <v>0</v>
      </c>
      <c r="Z6" s="9">
        <v>3</v>
      </c>
      <c r="AA6" s="9">
        <v>2</v>
      </c>
      <c r="AB6" s="9">
        <v>1</v>
      </c>
      <c r="AC6" s="9">
        <v>0</v>
      </c>
      <c r="AD6" s="9">
        <v>1</v>
      </c>
      <c r="AE6" s="9">
        <v>0</v>
      </c>
      <c r="AF6" s="9">
        <v>0</v>
      </c>
      <c r="AG6" s="9">
        <v>1</v>
      </c>
      <c r="AH6" s="9">
        <v>0</v>
      </c>
      <c r="AI6" s="9">
        <v>2</v>
      </c>
      <c r="AJ6" s="9">
        <v>0</v>
      </c>
      <c r="AK6" s="9">
        <v>1</v>
      </c>
      <c r="AL6" s="8">
        <f t="shared" si="0"/>
        <v>0</v>
      </c>
      <c r="AM6" s="10">
        <f t="shared" si="1"/>
        <v>25</v>
      </c>
      <c r="AN6" s="45"/>
    </row>
    <row r="7" spans="1:40" ht="15.6" x14ac:dyDescent="0.3">
      <c r="A7" s="51"/>
      <c r="B7" s="52"/>
      <c r="C7" s="45"/>
      <c r="D7" s="11">
        <v>4</v>
      </c>
      <c r="E7" s="12" t="s">
        <v>11</v>
      </c>
      <c r="F7" s="8">
        <f>'RTO AND OLD STOCK OCTOBER'!AL7+'DTO OCTOBER 2024'!AK7+'MASTER GOOD OCOTBER 2024'!AK7</f>
        <v>17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1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1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8">
        <f t="shared" si="0"/>
        <v>15</v>
      </c>
      <c r="AM7" s="10">
        <f t="shared" si="1"/>
        <v>2</v>
      </c>
      <c r="AN7" s="45"/>
    </row>
    <row r="8" spans="1:40" ht="15.6" x14ac:dyDescent="0.3">
      <c r="A8" s="51"/>
      <c r="B8" s="52"/>
      <c r="C8" s="45"/>
      <c r="D8" s="6">
        <v>5</v>
      </c>
      <c r="E8" s="12" t="s">
        <v>12</v>
      </c>
      <c r="F8" s="8">
        <f>'RTO AND OLD STOCK OCTOBER'!AL8+'DTO OCTOBER 2024'!AK8+'MASTER GOOD OCOTBER 2024'!AK8</f>
        <v>40</v>
      </c>
      <c r="G8" s="9">
        <v>1</v>
      </c>
      <c r="H8" s="9">
        <v>5</v>
      </c>
      <c r="I8" s="9">
        <v>1</v>
      </c>
      <c r="J8" s="9">
        <v>3</v>
      </c>
      <c r="K8" s="9">
        <v>2</v>
      </c>
      <c r="L8" s="9">
        <v>0</v>
      </c>
      <c r="M8" s="9">
        <v>0</v>
      </c>
      <c r="N8" s="9">
        <v>0</v>
      </c>
      <c r="O8" s="9">
        <v>3</v>
      </c>
      <c r="P8" s="9">
        <v>1</v>
      </c>
      <c r="Q8" s="9">
        <v>1</v>
      </c>
      <c r="R8" s="9">
        <v>0</v>
      </c>
      <c r="S8" s="9">
        <v>1</v>
      </c>
      <c r="T8" s="9">
        <v>0</v>
      </c>
      <c r="U8" s="9">
        <v>0</v>
      </c>
      <c r="V8" s="9">
        <v>2</v>
      </c>
      <c r="W8" s="9">
        <v>1</v>
      </c>
      <c r="X8" s="9">
        <v>3</v>
      </c>
      <c r="Y8" s="9">
        <v>0</v>
      </c>
      <c r="Z8" s="9">
        <v>1</v>
      </c>
      <c r="AA8" s="9">
        <v>1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2</v>
      </c>
      <c r="AH8" s="9">
        <v>0</v>
      </c>
      <c r="AI8" s="9">
        <v>1</v>
      </c>
      <c r="AJ8" s="9">
        <v>0</v>
      </c>
      <c r="AK8" s="9">
        <v>1</v>
      </c>
      <c r="AL8" s="8">
        <f t="shared" si="0"/>
        <v>10</v>
      </c>
      <c r="AM8" s="10">
        <f t="shared" si="1"/>
        <v>30</v>
      </c>
      <c r="AN8" s="45"/>
    </row>
    <row r="9" spans="1:40" ht="15.6" x14ac:dyDescent="0.3">
      <c r="A9" s="51"/>
      <c r="B9" s="52"/>
      <c r="C9" s="45"/>
      <c r="D9" s="11">
        <v>6</v>
      </c>
      <c r="E9" s="12" t="s">
        <v>13</v>
      </c>
      <c r="F9" s="8">
        <f>'RTO AND OLD STOCK OCTOBER'!AL9+'DTO OCTOBER 2024'!AK9+'MASTER GOOD OCOTBER 2024'!AK9</f>
        <v>10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8">
        <f t="shared" si="0"/>
        <v>10</v>
      </c>
      <c r="AM9" s="10">
        <f t="shared" si="1"/>
        <v>0</v>
      </c>
      <c r="AN9" s="45"/>
    </row>
    <row r="10" spans="1:40" ht="15.6" x14ac:dyDescent="0.3">
      <c r="A10" s="51"/>
      <c r="B10" s="52"/>
      <c r="C10" s="45"/>
      <c r="D10" s="6">
        <v>7</v>
      </c>
      <c r="E10" s="12" t="s">
        <v>14</v>
      </c>
      <c r="F10" s="8">
        <f>'RTO AND OLD STOCK OCTOBER'!AL10+'DTO OCTOBER 2024'!AK10+'MASTER GOOD OCOTBER 2024'!AK10</f>
        <v>10</v>
      </c>
      <c r="G10" s="9">
        <v>0</v>
      </c>
      <c r="H10" s="9">
        <v>0</v>
      </c>
      <c r="I10" s="9">
        <v>1</v>
      </c>
      <c r="J10" s="9">
        <v>0</v>
      </c>
      <c r="K10" s="9">
        <v>0</v>
      </c>
      <c r="L10" s="9">
        <v>2</v>
      </c>
      <c r="M10" s="9">
        <v>0</v>
      </c>
      <c r="N10" s="9">
        <v>1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1</v>
      </c>
      <c r="X10" s="9">
        <v>0</v>
      </c>
      <c r="Y10" s="9">
        <v>0</v>
      </c>
      <c r="Z10" s="9">
        <v>0</v>
      </c>
      <c r="AA10" s="9">
        <v>1</v>
      </c>
      <c r="AB10" s="9">
        <v>1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8">
        <f t="shared" si="0"/>
        <v>2</v>
      </c>
      <c r="AM10" s="10">
        <f t="shared" si="1"/>
        <v>8</v>
      </c>
      <c r="AN10" s="45"/>
    </row>
    <row r="11" spans="1:40" ht="16.2" thickBot="1" x14ac:dyDescent="0.35">
      <c r="A11" s="53"/>
      <c r="B11" s="54"/>
      <c r="C11" s="46"/>
      <c r="D11" s="11">
        <v>8</v>
      </c>
      <c r="E11" s="13" t="s">
        <v>15</v>
      </c>
      <c r="F11" s="8">
        <f>'RTO AND OLD STOCK OCTOBER'!AL11+'DTO OCTOBER 2024'!AK11+'MASTER GOOD OCOTBER 2024'!AK11</f>
        <v>5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8">
        <f t="shared" si="0"/>
        <v>5</v>
      </c>
      <c r="AM11" s="10">
        <f t="shared" si="1"/>
        <v>0</v>
      </c>
      <c r="AN11" s="46"/>
    </row>
    <row r="12" spans="1:40" ht="15.6" x14ac:dyDescent="0.3">
      <c r="A12" s="38"/>
      <c r="B12" s="39"/>
      <c r="C12" s="44">
        <v>2</v>
      </c>
      <c r="D12" s="6">
        <v>9</v>
      </c>
      <c r="E12" s="14" t="s">
        <v>16</v>
      </c>
      <c r="F12" s="8">
        <f>'RTO AND OLD STOCK OCTOBER'!AL12+'DTO OCTOBER 2024'!AK12+'MASTER GOOD OCOTBER 2024'!AK12</f>
        <v>100</v>
      </c>
      <c r="G12" s="9">
        <v>30</v>
      </c>
      <c r="H12" s="9">
        <v>17</v>
      </c>
      <c r="I12" s="9">
        <v>12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1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1</v>
      </c>
      <c r="AL12" s="8">
        <f t="shared" si="0"/>
        <v>39</v>
      </c>
      <c r="AM12" s="10">
        <f t="shared" si="1"/>
        <v>61</v>
      </c>
      <c r="AN12" s="44">
        <f>SUM(AM12:AM14)</f>
        <v>345</v>
      </c>
    </row>
    <row r="13" spans="1:40" ht="15.6" x14ac:dyDescent="0.3">
      <c r="A13" s="40"/>
      <c r="B13" s="41"/>
      <c r="C13" s="45"/>
      <c r="D13" s="11">
        <v>10</v>
      </c>
      <c r="E13" s="12" t="s">
        <v>17</v>
      </c>
      <c r="F13" s="8">
        <f>'RTO AND OLD STOCK OCTOBER'!AL13+'DTO OCTOBER 2024'!AK13+'MASTER GOOD OCOTBER 2024'!AK13</f>
        <v>3624</v>
      </c>
      <c r="G13" s="9">
        <v>9</v>
      </c>
      <c r="H13" s="9">
        <v>11</v>
      </c>
      <c r="I13" s="9">
        <v>24</v>
      </c>
      <c r="J13" s="9">
        <v>16</v>
      </c>
      <c r="K13" s="9">
        <v>17</v>
      </c>
      <c r="L13" s="9">
        <v>11</v>
      </c>
      <c r="M13" s="9">
        <v>14</v>
      </c>
      <c r="N13" s="9">
        <v>11</v>
      </c>
      <c r="O13" s="9">
        <v>8</v>
      </c>
      <c r="P13" s="9">
        <v>4</v>
      </c>
      <c r="Q13" s="9">
        <v>6</v>
      </c>
      <c r="R13" s="9">
        <v>3</v>
      </c>
      <c r="S13" s="9">
        <v>1</v>
      </c>
      <c r="T13" s="9">
        <v>6</v>
      </c>
      <c r="U13" s="9">
        <v>2</v>
      </c>
      <c r="V13" s="9">
        <v>8</v>
      </c>
      <c r="W13" s="9">
        <v>13</v>
      </c>
      <c r="X13" s="9">
        <v>9</v>
      </c>
      <c r="Y13" s="9">
        <v>10</v>
      </c>
      <c r="Z13" s="9">
        <v>9</v>
      </c>
      <c r="AA13" s="9">
        <v>13</v>
      </c>
      <c r="AB13" s="9">
        <v>16</v>
      </c>
      <c r="AC13" s="9">
        <v>6</v>
      </c>
      <c r="AD13" s="9">
        <v>9</v>
      </c>
      <c r="AE13" s="9">
        <v>2</v>
      </c>
      <c r="AF13" s="9">
        <v>9</v>
      </c>
      <c r="AG13" s="9">
        <v>11</v>
      </c>
      <c r="AH13" s="9">
        <v>7</v>
      </c>
      <c r="AI13" s="9">
        <v>8</v>
      </c>
      <c r="AJ13" s="9">
        <v>5</v>
      </c>
      <c r="AK13" s="9">
        <v>6</v>
      </c>
      <c r="AL13" s="8">
        <f t="shared" si="0"/>
        <v>3340</v>
      </c>
      <c r="AM13" s="10">
        <f t="shared" si="1"/>
        <v>284</v>
      </c>
      <c r="AN13" s="45"/>
    </row>
    <row r="14" spans="1:40" ht="16.2" thickBot="1" x14ac:dyDescent="0.35">
      <c r="A14" s="42"/>
      <c r="B14" s="43"/>
      <c r="C14" s="46"/>
      <c r="D14" s="6">
        <v>11</v>
      </c>
      <c r="E14" s="15" t="s">
        <v>18</v>
      </c>
      <c r="F14" s="8">
        <f>'RTO AND OLD STOCK OCTOBER'!AL14+'DTO OCTOBER 2024'!AK14+'MASTER GOOD OCOTBER 2024'!AK14</f>
        <v>5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8">
        <f t="shared" si="0"/>
        <v>5</v>
      </c>
      <c r="AM14" s="10">
        <f t="shared" si="1"/>
        <v>0</v>
      </c>
      <c r="AN14" s="46"/>
    </row>
    <row r="15" spans="1:40" ht="15.6" x14ac:dyDescent="0.3">
      <c r="A15" s="38"/>
      <c r="B15" s="39"/>
      <c r="C15" s="44">
        <v>3</v>
      </c>
      <c r="D15" s="11">
        <v>12</v>
      </c>
      <c r="E15" s="16" t="s">
        <v>19</v>
      </c>
      <c r="F15" s="8">
        <f>'RTO AND OLD STOCK OCTOBER'!AL15+'DTO OCTOBER 2024'!AK15+'MASTER GOOD OCOTBER 2024'!AK15</f>
        <v>10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1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1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1</v>
      </c>
      <c r="Y15" s="9">
        <v>0</v>
      </c>
      <c r="Z15" s="9">
        <v>1</v>
      </c>
      <c r="AA15" s="9">
        <v>0</v>
      </c>
      <c r="AB15" s="9">
        <v>2</v>
      </c>
      <c r="AC15" s="9">
        <v>0</v>
      </c>
      <c r="AD15" s="9">
        <v>0</v>
      </c>
      <c r="AE15" s="9">
        <v>2</v>
      </c>
      <c r="AF15" s="9">
        <v>0</v>
      </c>
      <c r="AG15" s="9">
        <v>0</v>
      </c>
      <c r="AH15" s="9">
        <v>1</v>
      </c>
      <c r="AI15" s="9">
        <v>0</v>
      </c>
      <c r="AJ15" s="9">
        <v>0</v>
      </c>
      <c r="AK15" s="9">
        <v>0</v>
      </c>
      <c r="AL15" s="8">
        <f t="shared" si="0"/>
        <v>1</v>
      </c>
      <c r="AM15" s="10">
        <f t="shared" si="1"/>
        <v>9</v>
      </c>
      <c r="AN15" s="44">
        <f>SUM(AM15:AM21)</f>
        <v>9</v>
      </c>
    </row>
    <row r="16" spans="1:40" ht="15.6" x14ac:dyDescent="0.3">
      <c r="A16" s="40"/>
      <c r="B16" s="41"/>
      <c r="C16" s="45"/>
      <c r="D16" s="6">
        <v>13</v>
      </c>
      <c r="E16" s="17" t="s">
        <v>20</v>
      </c>
      <c r="F16" s="8">
        <f>'RTO AND OLD STOCK OCTOBER'!AL16+'DTO OCTOBER 2024'!AK16+'MASTER GOOD OCOTBER 2024'!AK16</f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8">
        <f t="shared" si="0"/>
        <v>1</v>
      </c>
      <c r="AM16" s="10">
        <f t="shared" si="1"/>
        <v>0</v>
      </c>
      <c r="AN16" s="45"/>
    </row>
    <row r="17" spans="1:40" ht="15.6" x14ac:dyDescent="0.3">
      <c r="A17" s="40"/>
      <c r="B17" s="41"/>
      <c r="C17" s="45"/>
      <c r="D17" s="11">
        <v>14</v>
      </c>
      <c r="E17" s="17" t="s">
        <v>21</v>
      </c>
      <c r="F17" s="8">
        <f>'RTO AND OLD STOCK OCTOBER'!AL17+'DTO OCTOBER 2024'!AK17+'MASTER GOOD OCOTBER 2024'!AK17</f>
        <v>3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8">
        <f t="shared" si="0"/>
        <v>3</v>
      </c>
      <c r="AM17" s="10">
        <f t="shared" si="1"/>
        <v>0</v>
      </c>
      <c r="AN17" s="45"/>
    </row>
    <row r="18" spans="1:40" ht="15.6" x14ac:dyDescent="0.3">
      <c r="A18" s="40"/>
      <c r="B18" s="41"/>
      <c r="C18" s="45"/>
      <c r="D18" s="6">
        <v>15</v>
      </c>
      <c r="E18" s="17" t="s">
        <v>22</v>
      </c>
      <c r="F18" s="8">
        <f>'RTO AND OLD STOCK OCTOBER'!AL18+'DTO OCTOBER 2024'!AK18+'MASTER GOOD OCOTBER 2024'!AK18</f>
        <v>18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8">
        <f t="shared" si="0"/>
        <v>18</v>
      </c>
      <c r="AM18" s="10">
        <f t="shared" si="1"/>
        <v>0</v>
      </c>
      <c r="AN18" s="45"/>
    </row>
    <row r="19" spans="1:40" ht="15.6" x14ac:dyDescent="0.3">
      <c r="A19" s="40"/>
      <c r="B19" s="41"/>
      <c r="C19" s="45"/>
      <c r="D19" s="11">
        <v>16</v>
      </c>
      <c r="E19" s="17" t="s">
        <v>23</v>
      </c>
      <c r="F19" s="8">
        <f>'RTO AND OLD STOCK OCTOBER'!AL19+'DTO OCTOBER 2024'!AK19+'MASTER GOOD OCOTBER 2024'!AK19</f>
        <v>8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8">
        <f t="shared" si="0"/>
        <v>8</v>
      </c>
      <c r="AM19" s="10">
        <f t="shared" si="1"/>
        <v>0</v>
      </c>
      <c r="AN19" s="45"/>
    </row>
    <row r="20" spans="1:40" ht="15.6" x14ac:dyDescent="0.3">
      <c r="A20" s="40"/>
      <c r="B20" s="41"/>
      <c r="C20" s="45"/>
      <c r="D20" s="6">
        <v>17</v>
      </c>
      <c r="E20" s="17" t="s">
        <v>24</v>
      </c>
      <c r="F20" s="8">
        <f>'RTO AND OLD STOCK OCTOBER'!AL20+'DTO OCTOBER 2024'!AK20+'MASTER GOOD OCOTBER 2024'!AK20</f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8">
        <f t="shared" si="0"/>
        <v>0</v>
      </c>
      <c r="AM20" s="10">
        <f t="shared" si="1"/>
        <v>0</v>
      </c>
      <c r="AN20" s="45"/>
    </row>
    <row r="21" spans="1:40" ht="16.2" thickBot="1" x14ac:dyDescent="0.35">
      <c r="A21" s="42"/>
      <c r="B21" s="43"/>
      <c r="C21" s="46"/>
      <c r="D21" s="11">
        <v>18</v>
      </c>
      <c r="E21" s="15" t="s">
        <v>25</v>
      </c>
      <c r="F21" s="8">
        <f>'RTO AND OLD STOCK OCTOBER'!AL21+'DTO OCTOBER 2024'!AK21+'MASTER GOOD OCOTBER 2024'!AK21</f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8">
        <f t="shared" si="0"/>
        <v>0</v>
      </c>
      <c r="AM21" s="10">
        <f t="shared" si="1"/>
        <v>0</v>
      </c>
      <c r="AN21" s="46"/>
    </row>
    <row r="22" spans="1:40" ht="15.6" x14ac:dyDescent="0.3">
      <c r="A22" s="38"/>
      <c r="B22" s="39"/>
      <c r="C22" s="44">
        <v>4</v>
      </c>
      <c r="D22" s="6">
        <v>19</v>
      </c>
      <c r="E22" s="16" t="s">
        <v>26</v>
      </c>
      <c r="F22" s="8">
        <f>'RTO AND OLD STOCK OCTOBER'!AL22+'DTO OCTOBER 2024'!AK22+'MASTER GOOD OCOTBER 2024'!AK22</f>
        <v>280</v>
      </c>
      <c r="G22" s="9">
        <v>0</v>
      </c>
      <c r="H22" s="9">
        <v>0</v>
      </c>
      <c r="I22" s="9">
        <v>0</v>
      </c>
      <c r="J22" s="9">
        <v>1</v>
      </c>
      <c r="K22" s="9">
        <v>2</v>
      </c>
      <c r="L22" s="9">
        <v>0</v>
      </c>
      <c r="M22" s="9">
        <v>1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1</v>
      </c>
      <c r="W22" s="9">
        <v>1</v>
      </c>
      <c r="X22" s="9">
        <v>2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2</v>
      </c>
      <c r="AG22" s="9">
        <v>0</v>
      </c>
      <c r="AH22" s="9">
        <v>0</v>
      </c>
      <c r="AI22" s="9">
        <v>0</v>
      </c>
      <c r="AJ22" s="9">
        <v>0</v>
      </c>
      <c r="AK22" s="9">
        <v>1</v>
      </c>
      <c r="AL22" s="8">
        <f t="shared" si="0"/>
        <v>269</v>
      </c>
      <c r="AM22" s="10">
        <f t="shared" si="1"/>
        <v>11</v>
      </c>
      <c r="AN22" s="44">
        <f>SUM(AM22:AM25)</f>
        <v>30</v>
      </c>
    </row>
    <row r="23" spans="1:40" ht="15.6" x14ac:dyDescent="0.3">
      <c r="A23" s="40"/>
      <c r="B23" s="41"/>
      <c r="C23" s="45"/>
      <c r="D23" s="11">
        <v>20</v>
      </c>
      <c r="E23" s="18" t="s">
        <v>27</v>
      </c>
      <c r="F23" s="8">
        <f>'RTO AND OLD STOCK OCTOBER'!AL23+'DTO OCTOBER 2024'!AK23+'MASTER GOOD OCOTBER 2024'!AK23</f>
        <v>43</v>
      </c>
      <c r="G23" s="9">
        <v>0</v>
      </c>
      <c r="H23" s="9">
        <v>0</v>
      </c>
      <c r="I23" s="9">
        <v>1</v>
      </c>
      <c r="J23" s="9">
        <v>0</v>
      </c>
      <c r="K23" s="9">
        <v>1</v>
      </c>
      <c r="L23" s="9">
        <v>0</v>
      </c>
      <c r="M23" s="9">
        <v>1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1</v>
      </c>
      <c r="Y23" s="9">
        <v>0</v>
      </c>
      <c r="Z23" s="9">
        <v>0</v>
      </c>
      <c r="AA23" s="9">
        <v>2</v>
      </c>
      <c r="AB23" s="9">
        <v>2</v>
      </c>
      <c r="AC23" s="9">
        <v>1</v>
      </c>
      <c r="AD23" s="9">
        <v>0</v>
      </c>
      <c r="AE23" s="9">
        <v>0</v>
      </c>
      <c r="AF23" s="9">
        <v>3</v>
      </c>
      <c r="AG23" s="9">
        <v>0</v>
      </c>
      <c r="AH23" s="9">
        <v>1</v>
      </c>
      <c r="AI23" s="9">
        <v>0</v>
      </c>
      <c r="AJ23" s="9">
        <v>0</v>
      </c>
      <c r="AK23" s="9">
        <v>0</v>
      </c>
      <c r="AL23" s="8">
        <f t="shared" si="0"/>
        <v>30</v>
      </c>
      <c r="AM23" s="10">
        <f t="shared" si="1"/>
        <v>13</v>
      </c>
      <c r="AN23" s="45"/>
    </row>
    <row r="24" spans="1:40" ht="15.6" x14ac:dyDescent="0.3">
      <c r="A24" s="40"/>
      <c r="B24" s="41"/>
      <c r="C24" s="45"/>
      <c r="D24" s="6">
        <v>21</v>
      </c>
      <c r="E24" s="17" t="s">
        <v>28</v>
      </c>
      <c r="F24" s="8">
        <f>'RTO AND OLD STOCK OCTOBER'!AL24+'DTO OCTOBER 2024'!AK24+'MASTER GOOD OCOTBER 2024'!AK24</f>
        <v>30</v>
      </c>
      <c r="G24" s="9">
        <v>0</v>
      </c>
      <c r="H24" s="9">
        <v>0</v>
      </c>
      <c r="I24" s="9">
        <v>0</v>
      </c>
      <c r="J24" s="9">
        <v>0</v>
      </c>
      <c r="K24" s="9">
        <v>1</v>
      </c>
      <c r="L24" s="9">
        <v>0</v>
      </c>
      <c r="M24" s="9">
        <v>1</v>
      </c>
      <c r="N24" s="9">
        <v>0</v>
      </c>
      <c r="O24" s="9">
        <v>0</v>
      </c>
      <c r="P24" s="9">
        <v>1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1</v>
      </c>
      <c r="Y24" s="9">
        <v>0</v>
      </c>
      <c r="Z24" s="9">
        <v>1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1</v>
      </c>
      <c r="AH24" s="9">
        <v>0</v>
      </c>
      <c r="AI24" s="9">
        <v>0</v>
      </c>
      <c r="AJ24" s="9">
        <v>0</v>
      </c>
      <c r="AK24" s="9">
        <v>0</v>
      </c>
      <c r="AL24" s="8">
        <f t="shared" si="0"/>
        <v>24</v>
      </c>
      <c r="AM24" s="10">
        <f t="shared" si="1"/>
        <v>6</v>
      </c>
      <c r="AN24" s="45"/>
    </row>
    <row r="25" spans="1:40" ht="16.2" thickBot="1" x14ac:dyDescent="0.35">
      <c r="A25" s="42"/>
      <c r="B25" s="43"/>
      <c r="C25" s="46"/>
      <c r="D25" s="11">
        <v>22</v>
      </c>
      <c r="E25" s="15" t="s">
        <v>29</v>
      </c>
      <c r="F25" s="8">
        <f>'RTO AND OLD STOCK OCTOBER'!AL25+'DTO OCTOBER 2024'!AK25+'MASTER GOOD OCOTBER 2024'!AK25</f>
        <v>9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8">
        <f t="shared" si="0"/>
        <v>9</v>
      </c>
      <c r="AM25" s="10">
        <f t="shared" si="1"/>
        <v>0</v>
      </c>
      <c r="AN25" s="46"/>
    </row>
    <row r="26" spans="1:40" ht="15.6" x14ac:dyDescent="0.3">
      <c r="A26" s="38"/>
      <c r="B26" s="39"/>
      <c r="C26" s="44">
        <v>5</v>
      </c>
      <c r="D26" s="6">
        <v>23</v>
      </c>
      <c r="E26" s="16" t="s">
        <v>30</v>
      </c>
      <c r="F26" s="8">
        <f>'RTO AND OLD STOCK OCTOBER'!AL26+'DTO OCTOBER 2024'!AK26+'MASTER GOOD OCOTBER 2024'!AK26</f>
        <v>55</v>
      </c>
      <c r="G26" s="9">
        <v>1</v>
      </c>
      <c r="H26" s="9"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1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8">
        <f t="shared" si="0"/>
        <v>52</v>
      </c>
      <c r="AM26" s="10">
        <f t="shared" si="1"/>
        <v>3</v>
      </c>
      <c r="AN26" s="44">
        <f>SUM(AM26:AM36)</f>
        <v>11</v>
      </c>
    </row>
    <row r="27" spans="1:40" ht="15.6" x14ac:dyDescent="0.3">
      <c r="A27" s="40"/>
      <c r="B27" s="41"/>
      <c r="C27" s="45"/>
      <c r="D27" s="11">
        <v>24</v>
      </c>
      <c r="E27" s="17" t="s">
        <v>31</v>
      </c>
      <c r="F27" s="8">
        <f>'RTO AND OLD STOCK OCTOBER'!AL27+'DTO OCTOBER 2024'!AK27+'MASTER GOOD OCOTBER 2024'!AK27</f>
        <v>145</v>
      </c>
      <c r="G27" s="9">
        <v>1</v>
      </c>
      <c r="H27" s="9">
        <v>0</v>
      </c>
      <c r="I27" s="9">
        <v>1</v>
      </c>
      <c r="J27" s="9">
        <v>0</v>
      </c>
      <c r="K27" s="9">
        <v>0</v>
      </c>
      <c r="L27" s="9">
        <v>0</v>
      </c>
      <c r="M27" s="9">
        <v>1</v>
      </c>
      <c r="N27" s="9">
        <v>0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1</v>
      </c>
      <c r="Y27" s="9">
        <v>0</v>
      </c>
      <c r="Z27" s="9">
        <v>0</v>
      </c>
      <c r="AA27" s="9">
        <v>2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8">
        <f t="shared" si="0"/>
        <v>138</v>
      </c>
      <c r="AM27" s="10">
        <f t="shared" si="1"/>
        <v>7</v>
      </c>
      <c r="AN27" s="45"/>
    </row>
    <row r="28" spans="1:40" ht="15.6" x14ac:dyDescent="0.3">
      <c r="A28" s="40"/>
      <c r="B28" s="41"/>
      <c r="C28" s="45"/>
      <c r="D28" s="6">
        <v>25</v>
      </c>
      <c r="E28" s="17" t="s">
        <v>32</v>
      </c>
      <c r="F28" s="8">
        <f>'RTO AND OLD STOCK OCTOBER'!AL28+'DTO OCTOBER 2024'!AK28+'MASTER GOOD OCOTBER 2024'!AK28</f>
        <v>127</v>
      </c>
      <c r="G28" s="9">
        <v>1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8">
        <f t="shared" si="0"/>
        <v>126</v>
      </c>
      <c r="AM28" s="10">
        <f t="shared" si="1"/>
        <v>1</v>
      </c>
      <c r="AN28" s="45"/>
    </row>
    <row r="29" spans="1:40" ht="15.6" x14ac:dyDescent="0.3">
      <c r="A29" s="40"/>
      <c r="B29" s="41"/>
      <c r="C29" s="45"/>
      <c r="D29" s="11">
        <v>26</v>
      </c>
      <c r="E29" s="17" t="s">
        <v>33</v>
      </c>
      <c r="F29" s="8">
        <f>'RTO AND OLD STOCK OCTOBER'!AL29+'DTO OCTOBER 2024'!AK29+'MASTER GOOD OCOTBER 2024'!AK29</f>
        <v>95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8">
        <f t="shared" si="0"/>
        <v>95</v>
      </c>
      <c r="AM29" s="10">
        <f t="shared" si="1"/>
        <v>0</v>
      </c>
      <c r="AN29" s="45"/>
    </row>
    <row r="30" spans="1:40" ht="15.6" x14ac:dyDescent="0.3">
      <c r="A30" s="40"/>
      <c r="B30" s="41"/>
      <c r="C30" s="45"/>
      <c r="D30" s="6">
        <v>27</v>
      </c>
      <c r="E30" s="17" t="s">
        <v>34</v>
      </c>
      <c r="F30" s="8">
        <f>'RTO AND OLD STOCK OCTOBER'!AL30+'DTO OCTOBER 2024'!AK30+'MASTER GOOD OCOTBER 2024'!AK30</f>
        <v>99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8">
        <f t="shared" si="0"/>
        <v>99</v>
      </c>
      <c r="AM30" s="10">
        <f t="shared" si="1"/>
        <v>0</v>
      </c>
      <c r="AN30" s="45"/>
    </row>
    <row r="31" spans="1:40" ht="15.6" x14ac:dyDescent="0.3">
      <c r="A31" s="40"/>
      <c r="B31" s="41"/>
      <c r="C31" s="45"/>
      <c r="D31" s="11">
        <v>28</v>
      </c>
      <c r="E31" s="17" t="s">
        <v>35</v>
      </c>
      <c r="F31" s="8">
        <f>'RTO AND OLD STOCK OCTOBER'!AL31+'DTO OCTOBER 2024'!AK31+'MASTER GOOD OCOTBER 2024'!AK31</f>
        <v>4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8">
        <f t="shared" si="0"/>
        <v>4</v>
      </c>
      <c r="AM31" s="10">
        <f t="shared" si="1"/>
        <v>0</v>
      </c>
      <c r="AN31" s="45"/>
    </row>
    <row r="32" spans="1:40" ht="15.6" x14ac:dyDescent="0.3">
      <c r="A32" s="40"/>
      <c r="B32" s="41"/>
      <c r="C32" s="45"/>
      <c r="D32" s="6">
        <v>29</v>
      </c>
      <c r="E32" s="17" t="s">
        <v>36</v>
      </c>
      <c r="F32" s="8">
        <f>'RTO AND OLD STOCK OCTOBER'!AL32+'DTO OCTOBER 2024'!AK32+'MASTER GOOD OCOTBER 2024'!AK32</f>
        <v>57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8">
        <f t="shared" si="0"/>
        <v>57</v>
      </c>
      <c r="AM32" s="10">
        <f t="shared" si="1"/>
        <v>0</v>
      </c>
      <c r="AN32" s="45"/>
    </row>
    <row r="33" spans="1:40" ht="15.6" x14ac:dyDescent="0.3">
      <c r="A33" s="40"/>
      <c r="B33" s="41"/>
      <c r="C33" s="45"/>
      <c r="D33" s="11">
        <v>30</v>
      </c>
      <c r="E33" s="17" t="s">
        <v>37</v>
      </c>
      <c r="F33" s="8">
        <f>'RTO AND OLD STOCK OCTOBER'!AL33+'DTO OCTOBER 2024'!AK33+'MASTER GOOD OCOTBER 2024'!AK33</f>
        <v>5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8">
        <f t="shared" si="0"/>
        <v>5</v>
      </c>
      <c r="AM33" s="10">
        <f t="shared" si="1"/>
        <v>0</v>
      </c>
      <c r="AN33" s="45"/>
    </row>
    <row r="34" spans="1:40" ht="15.6" x14ac:dyDescent="0.3">
      <c r="A34" s="40"/>
      <c r="B34" s="41"/>
      <c r="C34" s="45"/>
      <c r="D34" s="6">
        <v>31</v>
      </c>
      <c r="E34" s="17" t="s">
        <v>38</v>
      </c>
      <c r="F34" s="8">
        <f>'RTO AND OLD STOCK OCTOBER'!AL34+'DTO OCTOBER 2024'!AK34+'MASTER GOOD OCOTBER 2024'!AK34</f>
        <v>3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8">
        <f t="shared" si="0"/>
        <v>3</v>
      </c>
      <c r="AM34" s="10">
        <f t="shared" si="1"/>
        <v>0</v>
      </c>
      <c r="AN34" s="45"/>
    </row>
    <row r="35" spans="1:40" ht="15.6" x14ac:dyDescent="0.3">
      <c r="A35" s="40"/>
      <c r="B35" s="41"/>
      <c r="C35" s="45"/>
      <c r="D35" s="11">
        <v>32</v>
      </c>
      <c r="E35" s="17" t="s">
        <v>39</v>
      </c>
      <c r="F35" s="8">
        <f>'RTO AND OLD STOCK OCTOBER'!AL35+'DTO OCTOBER 2024'!AK35+'MASTER GOOD OCOTBER 2024'!AK35</f>
        <v>21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8">
        <f t="shared" si="0"/>
        <v>21</v>
      </c>
      <c r="AM35" s="10">
        <f t="shared" si="1"/>
        <v>0</v>
      </c>
      <c r="AN35" s="45"/>
    </row>
    <row r="36" spans="1:40" ht="16.2" thickBot="1" x14ac:dyDescent="0.35">
      <c r="A36" s="42"/>
      <c r="B36" s="43"/>
      <c r="C36" s="46"/>
      <c r="D36" s="6">
        <v>33</v>
      </c>
      <c r="E36" s="15" t="s">
        <v>40</v>
      </c>
      <c r="F36" s="8">
        <f>'RTO AND OLD STOCK OCTOBER'!AL36+'DTO OCTOBER 2024'!AK36+'MASTER GOOD OCOTBER 2024'!AK36</f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8">
        <f t="shared" si="0"/>
        <v>0</v>
      </c>
      <c r="AM36" s="10">
        <f t="shared" si="1"/>
        <v>0</v>
      </c>
      <c r="AN36" s="46"/>
    </row>
    <row r="37" spans="1:40" ht="15.6" x14ac:dyDescent="0.3">
      <c r="A37" s="38"/>
      <c r="B37" s="39"/>
      <c r="C37" s="44">
        <v>6</v>
      </c>
      <c r="D37" s="11">
        <v>34</v>
      </c>
      <c r="E37" s="16" t="s">
        <v>41</v>
      </c>
      <c r="F37" s="8">
        <f>'RTO AND OLD STOCK OCTOBER'!AL37+'DTO OCTOBER 2024'!AK37+'MASTER GOOD OCOTBER 2024'!AK37</f>
        <v>34</v>
      </c>
      <c r="G37" s="9">
        <v>6</v>
      </c>
      <c r="H37" s="9">
        <v>1</v>
      </c>
      <c r="I37" s="9">
        <v>1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2</v>
      </c>
      <c r="AB37" s="9">
        <v>1</v>
      </c>
      <c r="AC37" s="9">
        <v>1</v>
      </c>
      <c r="AD37" s="9">
        <v>2</v>
      </c>
      <c r="AE37" s="9">
        <v>1</v>
      </c>
      <c r="AF37" s="9">
        <v>2</v>
      </c>
      <c r="AG37" s="9">
        <v>2</v>
      </c>
      <c r="AH37" s="9">
        <v>4</v>
      </c>
      <c r="AI37" s="9">
        <v>2</v>
      </c>
      <c r="AJ37" s="9">
        <v>2</v>
      </c>
      <c r="AK37" s="9">
        <v>2</v>
      </c>
      <c r="AL37" s="8">
        <f t="shared" si="0"/>
        <v>5</v>
      </c>
      <c r="AM37" s="10">
        <f t="shared" si="1"/>
        <v>29</v>
      </c>
      <c r="AN37" s="44">
        <f>SUM(AM37:AM40)</f>
        <v>81</v>
      </c>
    </row>
    <row r="38" spans="1:40" ht="15.6" x14ac:dyDescent="0.3">
      <c r="A38" s="40"/>
      <c r="B38" s="41"/>
      <c r="C38" s="45"/>
      <c r="D38" s="6">
        <v>35</v>
      </c>
      <c r="E38" s="17" t="s">
        <v>42</v>
      </c>
      <c r="F38" s="8">
        <f>'RTO AND OLD STOCK OCTOBER'!AL38+'DTO OCTOBER 2024'!AK38+'MASTER GOOD OCOTBER 2024'!AK38</f>
        <v>61</v>
      </c>
      <c r="G38" s="9">
        <v>0</v>
      </c>
      <c r="H38" s="9">
        <v>1</v>
      </c>
      <c r="I38" s="9">
        <v>2</v>
      </c>
      <c r="J38" s="9">
        <v>5</v>
      </c>
      <c r="K38" s="9">
        <v>0</v>
      </c>
      <c r="L38" s="9">
        <v>3</v>
      </c>
      <c r="M38" s="9">
        <v>0</v>
      </c>
      <c r="N38" s="9">
        <v>3</v>
      </c>
      <c r="O38" s="9">
        <v>0</v>
      </c>
      <c r="P38" s="9">
        <v>3</v>
      </c>
      <c r="Q38" s="9">
        <v>3</v>
      </c>
      <c r="R38" s="9">
        <v>0</v>
      </c>
      <c r="S38" s="9">
        <v>1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1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1</v>
      </c>
      <c r="AF38" s="9">
        <v>0</v>
      </c>
      <c r="AG38" s="9">
        <v>0</v>
      </c>
      <c r="AH38" s="9">
        <v>1</v>
      </c>
      <c r="AI38" s="9">
        <v>0</v>
      </c>
      <c r="AJ38" s="9">
        <v>2</v>
      </c>
      <c r="AK38" s="9">
        <v>1</v>
      </c>
      <c r="AL38" s="8">
        <f t="shared" si="0"/>
        <v>34</v>
      </c>
      <c r="AM38" s="10">
        <f t="shared" si="1"/>
        <v>27</v>
      </c>
      <c r="AN38" s="45"/>
    </row>
    <row r="39" spans="1:40" ht="15.6" x14ac:dyDescent="0.3">
      <c r="A39" s="40"/>
      <c r="B39" s="41"/>
      <c r="C39" s="45"/>
      <c r="D39" s="11">
        <v>36</v>
      </c>
      <c r="E39" s="17" t="s">
        <v>43</v>
      </c>
      <c r="F39" s="8">
        <f>'RTO AND OLD STOCK OCTOBER'!AL39+'DTO OCTOBER 2024'!AK39+'MASTER GOOD OCOTBER 2024'!AK39</f>
        <v>2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1</v>
      </c>
      <c r="AA39" s="9">
        <v>0</v>
      </c>
      <c r="AB39" s="9">
        <v>1</v>
      </c>
      <c r="AC39" s="9">
        <v>0</v>
      </c>
      <c r="AD39" s="9">
        <v>0</v>
      </c>
      <c r="AE39" s="9">
        <v>0</v>
      </c>
      <c r="AF39" s="9">
        <v>1</v>
      </c>
      <c r="AG39" s="9">
        <v>2</v>
      </c>
      <c r="AH39" s="9">
        <v>3</v>
      </c>
      <c r="AI39" s="9">
        <v>1</v>
      </c>
      <c r="AJ39" s="9">
        <v>0</v>
      </c>
      <c r="AK39" s="9">
        <v>2</v>
      </c>
      <c r="AL39" s="8">
        <f t="shared" si="0"/>
        <v>0</v>
      </c>
      <c r="AM39" s="10">
        <f t="shared" si="1"/>
        <v>11</v>
      </c>
      <c r="AN39" s="45"/>
    </row>
    <row r="40" spans="1:40" ht="16.2" thickBot="1" x14ac:dyDescent="0.35">
      <c r="A40" s="42"/>
      <c r="B40" s="43"/>
      <c r="C40" s="46"/>
      <c r="D40" s="6">
        <v>37</v>
      </c>
      <c r="E40" s="15" t="s">
        <v>44</v>
      </c>
      <c r="F40" s="8">
        <f>'RTO AND OLD STOCK OCTOBER'!AL40+'DTO OCTOBER 2024'!AK40+'MASTER GOOD OCOTBER 2024'!AK40</f>
        <v>19</v>
      </c>
      <c r="G40" s="9">
        <v>1</v>
      </c>
      <c r="H40" s="9">
        <v>0</v>
      </c>
      <c r="I40" s="9">
        <v>2</v>
      </c>
      <c r="J40" s="9">
        <v>0</v>
      </c>
      <c r="K40" s="9">
        <v>0</v>
      </c>
      <c r="L40" s="9">
        <v>1</v>
      </c>
      <c r="M40" s="9">
        <v>3</v>
      </c>
      <c r="N40" s="9">
        <v>0</v>
      </c>
      <c r="O40" s="9">
        <v>0</v>
      </c>
      <c r="P40" s="9">
        <v>1</v>
      </c>
      <c r="Q40" s="9">
        <v>1</v>
      </c>
      <c r="R40" s="9">
        <v>0</v>
      </c>
      <c r="S40" s="9">
        <v>0</v>
      </c>
      <c r="T40" s="9">
        <v>0</v>
      </c>
      <c r="U40" s="9">
        <v>0</v>
      </c>
      <c r="V40" s="9">
        <v>1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2</v>
      </c>
      <c r="AG40" s="9">
        <v>0</v>
      </c>
      <c r="AH40" s="9">
        <v>0</v>
      </c>
      <c r="AI40" s="9">
        <v>2</v>
      </c>
      <c r="AJ40" s="9">
        <v>0</v>
      </c>
      <c r="AK40" s="9">
        <v>0</v>
      </c>
      <c r="AL40" s="8">
        <f t="shared" si="0"/>
        <v>5</v>
      </c>
      <c r="AM40" s="10">
        <f t="shared" si="1"/>
        <v>14</v>
      </c>
      <c r="AN40" s="46"/>
    </row>
  </sheetData>
  <mergeCells count="20">
    <mergeCell ref="A12:B14"/>
    <mergeCell ref="C12:C14"/>
    <mergeCell ref="AN12:AN14"/>
    <mergeCell ref="A2:AN2"/>
    <mergeCell ref="A3:B3"/>
    <mergeCell ref="A4:B11"/>
    <mergeCell ref="C4:C11"/>
    <mergeCell ref="AN4:AN11"/>
    <mergeCell ref="A15:B21"/>
    <mergeCell ref="C15:C21"/>
    <mergeCell ref="AN15:AN21"/>
    <mergeCell ref="A22:B25"/>
    <mergeCell ref="C22:C25"/>
    <mergeCell ref="AN22:AN25"/>
    <mergeCell ref="A26:B36"/>
    <mergeCell ref="C26:C36"/>
    <mergeCell ref="AN26:AN36"/>
    <mergeCell ref="A37:B40"/>
    <mergeCell ref="C37:C40"/>
    <mergeCell ref="AN37:AN4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D7C3-8FAC-4633-96A5-200566B21B5B}">
  <dimension ref="A1:AN40"/>
  <sheetViews>
    <sheetView topLeftCell="A9" zoomScaleNormal="100" workbookViewId="0">
      <selection activeCell="AM13" sqref="AM13"/>
    </sheetView>
  </sheetViews>
  <sheetFormatPr defaultRowHeight="14.4" x14ac:dyDescent="0.3"/>
  <cols>
    <col min="1" max="2" width="8.5546875" customWidth="1"/>
    <col min="3" max="3" width="9.88671875" bestFit="1" customWidth="1"/>
    <col min="4" max="4" width="8.5546875" customWidth="1"/>
    <col min="5" max="5" width="44.5546875" bestFit="1" customWidth="1"/>
    <col min="6" max="6" width="14.109375" bestFit="1" customWidth="1"/>
    <col min="37" max="37" width="17.33203125" bestFit="1" customWidth="1"/>
    <col min="38" max="38" width="17" bestFit="1" customWidth="1"/>
    <col min="39" max="39" width="16.6640625" bestFit="1" customWidth="1"/>
    <col min="40" max="40" width="17.44140625" bestFit="1" customWidth="1"/>
  </cols>
  <sheetData>
    <row r="1" spans="1:40" ht="15" thickBot="1" x14ac:dyDescent="0.35"/>
    <row r="2" spans="1:40" ht="18.600000000000001" thickBot="1" x14ac:dyDescent="0.35">
      <c r="A2" s="47" t="s">
        <v>48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9"/>
    </row>
    <row r="3" spans="1:40" ht="18.600000000000001" thickBot="1" x14ac:dyDescent="0.35">
      <c r="A3" s="47" t="s">
        <v>0</v>
      </c>
      <c r="B3" s="48"/>
      <c r="C3" s="1" t="s">
        <v>1</v>
      </c>
      <c r="D3" s="2" t="s">
        <v>2</v>
      </c>
      <c r="E3" s="3" t="s">
        <v>3</v>
      </c>
      <c r="F3" s="3" t="s">
        <v>45</v>
      </c>
      <c r="G3" s="4">
        <v>1</v>
      </c>
      <c r="H3" s="4">
        <v>2</v>
      </c>
      <c r="I3" s="4">
        <v>3</v>
      </c>
      <c r="J3" s="4">
        <v>4</v>
      </c>
      <c r="K3" s="4">
        <v>5</v>
      </c>
      <c r="L3" s="4">
        <v>6</v>
      </c>
      <c r="M3" s="4">
        <v>7</v>
      </c>
      <c r="N3" s="4">
        <v>8</v>
      </c>
      <c r="O3" s="4">
        <v>9</v>
      </c>
      <c r="P3" s="4">
        <v>10</v>
      </c>
      <c r="Q3" s="4">
        <v>11</v>
      </c>
      <c r="R3" s="4">
        <v>12</v>
      </c>
      <c r="S3" s="4">
        <v>13</v>
      </c>
      <c r="T3" s="4">
        <v>14</v>
      </c>
      <c r="U3" s="4">
        <v>15</v>
      </c>
      <c r="V3" s="4">
        <v>16</v>
      </c>
      <c r="W3" s="4">
        <v>17</v>
      </c>
      <c r="X3" s="4">
        <v>18</v>
      </c>
      <c r="Y3" s="4">
        <v>19</v>
      </c>
      <c r="Z3" s="4">
        <v>20</v>
      </c>
      <c r="AA3" s="4">
        <v>21</v>
      </c>
      <c r="AB3" s="4">
        <v>22</v>
      </c>
      <c r="AC3" s="4">
        <v>23</v>
      </c>
      <c r="AD3" s="4">
        <v>24</v>
      </c>
      <c r="AE3" s="4">
        <v>25</v>
      </c>
      <c r="AF3" s="4">
        <v>26</v>
      </c>
      <c r="AG3" s="4">
        <v>27</v>
      </c>
      <c r="AH3" s="4">
        <v>28</v>
      </c>
      <c r="AI3" s="4">
        <v>29</v>
      </c>
      <c r="AJ3" s="4">
        <v>30</v>
      </c>
      <c r="AK3" s="4">
        <v>31</v>
      </c>
      <c r="AL3" s="4" t="s">
        <v>46</v>
      </c>
      <c r="AM3" s="4" t="s">
        <v>6</v>
      </c>
      <c r="AN3" s="5" t="s">
        <v>7</v>
      </c>
    </row>
    <row r="4" spans="1:40" ht="15.6" x14ac:dyDescent="0.3">
      <c r="A4" s="50"/>
      <c r="B4" s="50"/>
      <c r="C4" s="45">
        <v>1</v>
      </c>
      <c r="D4" s="6">
        <v>1</v>
      </c>
      <c r="E4" s="7" t="s">
        <v>8</v>
      </c>
      <c r="F4" s="19">
        <f>-3+4</f>
        <v>1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50000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20">
        <f>F4+SUM(G4:AK4)</f>
        <v>50001</v>
      </c>
      <c r="AM4" s="20">
        <f>SUM(G4:AK4)</f>
        <v>50000</v>
      </c>
      <c r="AN4" s="44">
        <f>SUM(AM4:AM11)</f>
        <v>50061</v>
      </c>
    </row>
    <row r="5" spans="1:40" ht="15.6" x14ac:dyDescent="0.3">
      <c r="A5" s="50"/>
      <c r="B5" s="50"/>
      <c r="C5" s="45"/>
      <c r="D5" s="11">
        <v>2</v>
      </c>
      <c r="E5" s="12" t="s">
        <v>9</v>
      </c>
      <c r="F5" s="21">
        <f>1+0</f>
        <v>1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20">
        <f>F5+SUM(G5:AK5)</f>
        <v>1</v>
      </c>
      <c r="AM5" s="20">
        <f t="shared" ref="AM5:AM40" si="0">SUM(G5:AK5)</f>
        <v>0</v>
      </c>
      <c r="AN5" s="45"/>
    </row>
    <row r="6" spans="1:40" ht="15.6" x14ac:dyDescent="0.3">
      <c r="A6" s="51"/>
      <c r="B6" s="52"/>
      <c r="C6" s="45"/>
      <c r="D6" s="6">
        <v>3</v>
      </c>
      <c r="E6" s="12" t="s">
        <v>10</v>
      </c>
      <c r="F6" s="21">
        <f>6+0</f>
        <v>6</v>
      </c>
      <c r="G6" s="9">
        <v>0</v>
      </c>
      <c r="H6" s="9">
        <v>0</v>
      </c>
      <c r="I6" s="9">
        <v>1</v>
      </c>
      <c r="J6" s="9">
        <v>0</v>
      </c>
      <c r="K6" s="9">
        <v>0</v>
      </c>
      <c r="L6" s="9">
        <v>0</v>
      </c>
      <c r="M6" s="9">
        <v>1</v>
      </c>
      <c r="N6" s="9">
        <v>0</v>
      </c>
      <c r="O6" s="9">
        <v>2</v>
      </c>
      <c r="P6" s="9">
        <v>1</v>
      </c>
      <c r="Q6" s="9">
        <v>2</v>
      </c>
      <c r="R6" s="9">
        <v>0</v>
      </c>
      <c r="S6" s="9">
        <v>0</v>
      </c>
      <c r="T6" s="9">
        <v>1</v>
      </c>
      <c r="U6" s="9">
        <v>0</v>
      </c>
      <c r="V6" s="9">
        <v>0</v>
      </c>
      <c r="W6" s="9">
        <v>1</v>
      </c>
      <c r="X6" s="9">
        <v>0</v>
      </c>
      <c r="Y6" s="9">
        <v>2</v>
      </c>
      <c r="Z6" s="9">
        <v>0</v>
      </c>
      <c r="AA6" s="9">
        <v>1</v>
      </c>
      <c r="AB6" s="9">
        <v>0</v>
      </c>
      <c r="AC6" s="9">
        <v>0</v>
      </c>
      <c r="AD6" s="9">
        <v>0</v>
      </c>
      <c r="AE6" s="9">
        <v>0</v>
      </c>
      <c r="AF6" s="9">
        <v>1</v>
      </c>
      <c r="AG6" s="9">
        <v>0</v>
      </c>
      <c r="AH6" s="9">
        <v>1</v>
      </c>
      <c r="AI6" s="9">
        <v>0</v>
      </c>
      <c r="AJ6" s="9">
        <v>0</v>
      </c>
      <c r="AK6" s="9">
        <v>0</v>
      </c>
      <c r="AL6" s="20">
        <f t="shared" ref="AL6:AL40" si="1">F6+SUM(G6:AK6)</f>
        <v>20</v>
      </c>
      <c r="AM6" s="20">
        <f t="shared" si="0"/>
        <v>14</v>
      </c>
      <c r="AN6" s="45"/>
    </row>
    <row r="7" spans="1:40" ht="15.6" x14ac:dyDescent="0.3">
      <c r="A7" s="51"/>
      <c r="B7" s="52"/>
      <c r="C7" s="45"/>
      <c r="D7" s="11">
        <v>4</v>
      </c>
      <c r="E7" s="12" t="s">
        <v>11</v>
      </c>
      <c r="F7" s="21">
        <f>-28+2</f>
        <v>-26</v>
      </c>
      <c r="G7" s="9">
        <v>0</v>
      </c>
      <c r="H7" s="9">
        <v>0</v>
      </c>
      <c r="I7" s="9">
        <v>0</v>
      </c>
      <c r="J7" s="9">
        <v>2</v>
      </c>
      <c r="K7" s="9">
        <v>0</v>
      </c>
      <c r="L7" s="9">
        <v>0</v>
      </c>
      <c r="M7" s="9">
        <v>1</v>
      </c>
      <c r="N7" s="9">
        <v>0</v>
      </c>
      <c r="O7" s="9">
        <v>1</v>
      </c>
      <c r="P7" s="9">
        <v>0</v>
      </c>
      <c r="Q7" s="9">
        <v>0</v>
      </c>
      <c r="R7" s="9">
        <v>2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2</v>
      </c>
      <c r="Z7" s="9">
        <v>0</v>
      </c>
      <c r="AA7" s="9">
        <v>2</v>
      </c>
      <c r="AB7" s="9">
        <v>4</v>
      </c>
      <c r="AC7" s="9">
        <v>1</v>
      </c>
      <c r="AD7" s="9">
        <v>0</v>
      </c>
      <c r="AE7" s="9">
        <v>0</v>
      </c>
      <c r="AF7" s="9">
        <v>0</v>
      </c>
      <c r="AG7" s="9">
        <v>0</v>
      </c>
      <c r="AH7" s="9">
        <v>3</v>
      </c>
      <c r="AI7" s="9">
        <v>1</v>
      </c>
      <c r="AJ7" s="9">
        <v>0</v>
      </c>
      <c r="AK7" s="9">
        <v>1</v>
      </c>
      <c r="AL7" s="20">
        <f t="shared" si="1"/>
        <v>-6</v>
      </c>
      <c r="AM7" s="20">
        <f t="shared" si="0"/>
        <v>20</v>
      </c>
      <c r="AN7" s="45"/>
    </row>
    <row r="8" spans="1:40" ht="15.6" x14ac:dyDescent="0.3">
      <c r="A8" s="51"/>
      <c r="B8" s="52"/>
      <c r="C8" s="45"/>
      <c r="D8" s="6">
        <v>5</v>
      </c>
      <c r="E8" s="12" t="s">
        <v>12</v>
      </c>
      <c r="F8" s="21">
        <f>18+10</f>
        <v>28</v>
      </c>
      <c r="G8" s="9">
        <v>1</v>
      </c>
      <c r="H8" s="9">
        <v>0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</v>
      </c>
      <c r="U8" s="9">
        <v>0</v>
      </c>
      <c r="V8" s="9">
        <v>0</v>
      </c>
      <c r="W8" s="9">
        <v>0</v>
      </c>
      <c r="X8" s="9">
        <v>1</v>
      </c>
      <c r="Y8" s="9">
        <v>0</v>
      </c>
      <c r="Z8" s="9">
        <v>0</v>
      </c>
      <c r="AA8" s="9">
        <v>0</v>
      </c>
      <c r="AB8" s="9">
        <v>1</v>
      </c>
      <c r="AC8" s="9">
        <v>1</v>
      </c>
      <c r="AD8" s="9">
        <v>0</v>
      </c>
      <c r="AE8" s="9">
        <v>0</v>
      </c>
      <c r="AF8" s="9">
        <v>1</v>
      </c>
      <c r="AG8" s="9">
        <v>0</v>
      </c>
      <c r="AH8" s="9">
        <v>0</v>
      </c>
      <c r="AI8" s="9">
        <v>0</v>
      </c>
      <c r="AJ8" s="9">
        <v>0</v>
      </c>
      <c r="AK8" s="9">
        <v>1</v>
      </c>
      <c r="AL8" s="20">
        <f t="shared" si="1"/>
        <v>36</v>
      </c>
      <c r="AM8" s="20">
        <f t="shared" si="0"/>
        <v>8</v>
      </c>
      <c r="AN8" s="45"/>
    </row>
    <row r="9" spans="1:40" ht="15.6" x14ac:dyDescent="0.3">
      <c r="A9" s="51"/>
      <c r="B9" s="52"/>
      <c r="C9" s="45"/>
      <c r="D9" s="11">
        <v>6</v>
      </c>
      <c r="E9" s="12" t="s">
        <v>13</v>
      </c>
      <c r="F9" s="21">
        <f>-18+10</f>
        <v>-8</v>
      </c>
      <c r="G9" s="9">
        <v>0</v>
      </c>
      <c r="H9" s="9">
        <v>0</v>
      </c>
      <c r="I9" s="9">
        <v>0</v>
      </c>
      <c r="J9" s="9">
        <v>2</v>
      </c>
      <c r="K9" s="9">
        <v>3</v>
      </c>
      <c r="L9" s="9">
        <v>0</v>
      </c>
      <c r="M9" s="9">
        <v>0</v>
      </c>
      <c r="N9" s="9">
        <v>1</v>
      </c>
      <c r="O9" s="9">
        <v>5</v>
      </c>
      <c r="P9" s="9">
        <v>2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1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20">
        <f t="shared" si="1"/>
        <v>6</v>
      </c>
      <c r="AM9" s="20">
        <f t="shared" si="0"/>
        <v>14</v>
      </c>
      <c r="AN9" s="45"/>
    </row>
    <row r="10" spans="1:40" ht="15.6" x14ac:dyDescent="0.3">
      <c r="A10" s="51"/>
      <c r="B10" s="52"/>
      <c r="C10" s="45"/>
      <c r="D10" s="6">
        <v>7</v>
      </c>
      <c r="E10" s="12" t="s">
        <v>14</v>
      </c>
      <c r="F10" s="21">
        <f>1+1</f>
        <v>2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</v>
      </c>
      <c r="U10" s="9">
        <v>0</v>
      </c>
      <c r="V10" s="9">
        <v>1</v>
      </c>
      <c r="W10" s="9">
        <v>0</v>
      </c>
      <c r="X10" s="9">
        <v>0</v>
      </c>
      <c r="Y10" s="9">
        <v>1</v>
      </c>
      <c r="Z10" s="9">
        <v>0</v>
      </c>
      <c r="AA10" s="9">
        <v>0</v>
      </c>
      <c r="AB10" s="9">
        <v>0</v>
      </c>
      <c r="AC10" s="9">
        <v>0</v>
      </c>
      <c r="AD10" s="9">
        <v>1</v>
      </c>
      <c r="AE10" s="9">
        <v>0</v>
      </c>
      <c r="AF10" s="9">
        <v>1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20">
        <f t="shared" si="1"/>
        <v>7</v>
      </c>
      <c r="AM10" s="20">
        <f t="shared" si="0"/>
        <v>5</v>
      </c>
      <c r="AN10" s="45"/>
    </row>
    <row r="11" spans="1:40" ht="16.2" thickBot="1" x14ac:dyDescent="0.35">
      <c r="A11" s="53"/>
      <c r="B11" s="54"/>
      <c r="C11" s="46"/>
      <c r="D11" s="11">
        <v>8</v>
      </c>
      <c r="E11" s="13" t="s">
        <v>15</v>
      </c>
      <c r="F11" s="21">
        <v>5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20">
        <f t="shared" si="1"/>
        <v>5</v>
      </c>
      <c r="AM11" s="20">
        <f t="shared" si="0"/>
        <v>0</v>
      </c>
      <c r="AN11" s="46"/>
    </row>
    <row r="12" spans="1:40" ht="15.6" x14ac:dyDescent="0.3">
      <c r="A12" s="38"/>
      <c r="B12" s="39"/>
      <c r="C12" s="44">
        <v>2</v>
      </c>
      <c r="D12" s="6">
        <v>9</v>
      </c>
      <c r="E12" s="14" t="s">
        <v>16</v>
      </c>
      <c r="F12" s="21">
        <f>-9+36</f>
        <v>27</v>
      </c>
      <c r="G12" s="9">
        <v>1</v>
      </c>
      <c r="H12" s="9">
        <v>0</v>
      </c>
      <c r="I12" s="9">
        <v>0</v>
      </c>
      <c r="J12" s="9">
        <v>0</v>
      </c>
      <c r="K12" s="9">
        <v>4</v>
      </c>
      <c r="L12" s="9">
        <v>4</v>
      </c>
      <c r="M12" s="9">
        <v>1</v>
      </c>
      <c r="N12" s="9">
        <v>4</v>
      </c>
      <c r="O12" s="9">
        <v>0</v>
      </c>
      <c r="P12" s="9">
        <v>4</v>
      </c>
      <c r="Q12" s="9">
        <v>4</v>
      </c>
      <c r="R12" s="9">
        <v>4</v>
      </c>
      <c r="S12" s="9">
        <v>1</v>
      </c>
      <c r="T12" s="9">
        <v>2</v>
      </c>
      <c r="U12" s="9">
        <v>7</v>
      </c>
      <c r="V12" s="9">
        <v>1</v>
      </c>
      <c r="W12" s="9">
        <v>2</v>
      </c>
      <c r="X12" s="9">
        <v>0</v>
      </c>
      <c r="Y12" s="9">
        <v>5</v>
      </c>
      <c r="Z12" s="9">
        <v>2</v>
      </c>
      <c r="AA12" s="9">
        <v>2</v>
      </c>
      <c r="AB12" s="9">
        <v>3</v>
      </c>
      <c r="AC12" s="9">
        <v>0</v>
      </c>
      <c r="AD12" s="9">
        <v>1</v>
      </c>
      <c r="AE12" s="9">
        <v>0</v>
      </c>
      <c r="AF12" s="9">
        <v>2</v>
      </c>
      <c r="AG12" s="9">
        <v>0</v>
      </c>
      <c r="AH12" s="9">
        <v>1</v>
      </c>
      <c r="AI12" s="9">
        <v>0</v>
      </c>
      <c r="AJ12" s="9">
        <v>0</v>
      </c>
      <c r="AK12" s="9">
        <v>1</v>
      </c>
      <c r="AL12" s="20">
        <f t="shared" si="1"/>
        <v>83</v>
      </c>
      <c r="AM12" s="20">
        <f t="shared" si="0"/>
        <v>56</v>
      </c>
      <c r="AN12" s="44">
        <f>SUM(AM12:AM14)</f>
        <v>122</v>
      </c>
    </row>
    <row r="13" spans="1:40" ht="15.6" x14ac:dyDescent="0.3">
      <c r="A13" s="40"/>
      <c r="B13" s="41"/>
      <c r="C13" s="45"/>
      <c r="D13" s="11">
        <v>10</v>
      </c>
      <c r="E13" s="12" t="s">
        <v>17</v>
      </c>
      <c r="F13" s="21">
        <f>-848+3370</f>
        <v>2522</v>
      </c>
      <c r="G13" s="9">
        <v>2</v>
      </c>
      <c r="H13" s="9">
        <v>2</v>
      </c>
      <c r="I13" s="9">
        <v>5</v>
      </c>
      <c r="J13" s="9">
        <v>4</v>
      </c>
      <c r="K13" s="9">
        <v>1</v>
      </c>
      <c r="L13" s="9">
        <v>0</v>
      </c>
      <c r="M13" s="9">
        <v>1</v>
      </c>
      <c r="N13" s="9">
        <v>5</v>
      </c>
      <c r="O13" s="9">
        <v>1</v>
      </c>
      <c r="P13" s="9">
        <v>2</v>
      </c>
      <c r="Q13" s="9">
        <v>2</v>
      </c>
      <c r="R13" s="9">
        <v>3</v>
      </c>
      <c r="S13" s="9">
        <v>0</v>
      </c>
      <c r="T13" s="9">
        <v>4</v>
      </c>
      <c r="U13" s="9">
        <v>4</v>
      </c>
      <c r="V13" s="9">
        <v>0</v>
      </c>
      <c r="W13" s="9">
        <v>2</v>
      </c>
      <c r="X13" s="9">
        <v>1</v>
      </c>
      <c r="Y13" s="9">
        <v>3</v>
      </c>
      <c r="Z13" s="9">
        <v>1</v>
      </c>
      <c r="AA13" s="9">
        <v>2</v>
      </c>
      <c r="AB13" s="9">
        <v>1</v>
      </c>
      <c r="AC13" s="9">
        <v>3</v>
      </c>
      <c r="AD13" s="9">
        <v>2</v>
      </c>
      <c r="AE13" s="9">
        <v>2</v>
      </c>
      <c r="AF13" s="9">
        <v>3</v>
      </c>
      <c r="AG13" s="9">
        <v>0</v>
      </c>
      <c r="AH13" s="9">
        <v>3</v>
      </c>
      <c r="AI13" s="9">
        <v>2</v>
      </c>
      <c r="AJ13" s="9">
        <v>3</v>
      </c>
      <c r="AK13" s="9">
        <v>2</v>
      </c>
      <c r="AL13" s="20">
        <f t="shared" si="1"/>
        <v>2588</v>
      </c>
      <c r="AM13" s="20">
        <f t="shared" si="0"/>
        <v>66</v>
      </c>
      <c r="AN13" s="45"/>
    </row>
    <row r="14" spans="1:40" ht="16.2" thickBot="1" x14ac:dyDescent="0.35">
      <c r="A14" s="42"/>
      <c r="B14" s="43"/>
      <c r="C14" s="46"/>
      <c r="D14" s="6">
        <v>11</v>
      </c>
      <c r="E14" s="15" t="s">
        <v>18</v>
      </c>
      <c r="F14" s="21">
        <v>5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20">
        <f t="shared" si="1"/>
        <v>5</v>
      </c>
      <c r="AM14" s="20">
        <f t="shared" si="0"/>
        <v>0</v>
      </c>
      <c r="AN14" s="46"/>
    </row>
    <row r="15" spans="1:40" ht="15.6" x14ac:dyDescent="0.3">
      <c r="A15" s="38"/>
      <c r="B15" s="39"/>
      <c r="C15" s="44">
        <v>3</v>
      </c>
      <c r="D15" s="11">
        <v>12</v>
      </c>
      <c r="E15" s="16" t="s">
        <v>19</v>
      </c>
      <c r="F15" s="21">
        <f>5+2</f>
        <v>7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1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1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20">
        <f t="shared" si="1"/>
        <v>9</v>
      </c>
      <c r="AM15" s="20">
        <f t="shared" si="0"/>
        <v>2</v>
      </c>
      <c r="AN15" s="44">
        <f>SUM(AM15:AM21)</f>
        <v>2</v>
      </c>
    </row>
    <row r="16" spans="1:40" ht="15.6" x14ac:dyDescent="0.3">
      <c r="A16" s="40"/>
      <c r="B16" s="41"/>
      <c r="C16" s="45"/>
      <c r="D16" s="6">
        <v>13</v>
      </c>
      <c r="E16" s="17" t="s">
        <v>20</v>
      </c>
      <c r="F16" s="21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20">
        <f t="shared" si="1"/>
        <v>1</v>
      </c>
      <c r="AM16" s="20">
        <f t="shared" si="0"/>
        <v>0</v>
      </c>
      <c r="AN16" s="45"/>
    </row>
    <row r="17" spans="1:40" ht="15.6" x14ac:dyDescent="0.3">
      <c r="A17" s="40"/>
      <c r="B17" s="41"/>
      <c r="C17" s="45"/>
      <c r="D17" s="11">
        <v>14</v>
      </c>
      <c r="E17" s="17" t="s">
        <v>21</v>
      </c>
      <c r="F17" s="21">
        <v>3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20">
        <f t="shared" si="1"/>
        <v>3</v>
      </c>
      <c r="AM17" s="20">
        <f t="shared" si="0"/>
        <v>0</v>
      </c>
      <c r="AN17" s="45"/>
    </row>
    <row r="18" spans="1:40" ht="15.6" x14ac:dyDescent="0.3">
      <c r="A18" s="40"/>
      <c r="B18" s="41"/>
      <c r="C18" s="45"/>
      <c r="D18" s="6">
        <v>15</v>
      </c>
      <c r="E18" s="17" t="s">
        <v>22</v>
      </c>
      <c r="F18" s="21">
        <v>18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20">
        <f t="shared" si="1"/>
        <v>18</v>
      </c>
      <c r="AM18" s="20">
        <f t="shared" si="0"/>
        <v>0</v>
      </c>
      <c r="AN18" s="45"/>
    </row>
    <row r="19" spans="1:40" ht="15.6" x14ac:dyDescent="0.3">
      <c r="A19" s="40"/>
      <c r="B19" s="41"/>
      <c r="C19" s="45"/>
      <c r="D19" s="11">
        <v>16</v>
      </c>
      <c r="E19" s="17" t="s">
        <v>23</v>
      </c>
      <c r="F19" s="21">
        <v>8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20">
        <f t="shared" si="1"/>
        <v>8</v>
      </c>
      <c r="AM19" s="20">
        <f t="shared" si="0"/>
        <v>0</v>
      </c>
      <c r="AN19" s="45"/>
    </row>
    <row r="20" spans="1:40" ht="15.6" x14ac:dyDescent="0.3">
      <c r="A20" s="40"/>
      <c r="B20" s="41"/>
      <c r="C20" s="45"/>
      <c r="D20" s="6">
        <v>17</v>
      </c>
      <c r="E20" s="17" t="s">
        <v>24</v>
      </c>
      <c r="F20" s="21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20">
        <f t="shared" si="1"/>
        <v>0</v>
      </c>
      <c r="AM20" s="20">
        <f t="shared" si="0"/>
        <v>0</v>
      </c>
      <c r="AN20" s="45"/>
    </row>
    <row r="21" spans="1:40" ht="16.2" thickBot="1" x14ac:dyDescent="0.35">
      <c r="A21" s="42"/>
      <c r="B21" s="43"/>
      <c r="C21" s="46"/>
      <c r="D21" s="11">
        <v>18</v>
      </c>
      <c r="E21" s="15" t="s">
        <v>25</v>
      </c>
      <c r="F21" s="21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20">
        <f t="shared" si="1"/>
        <v>0</v>
      </c>
      <c r="AM21" s="20">
        <f t="shared" si="0"/>
        <v>0</v>
      </c>
      <c r="AN21" s="46"/>
    </row>
    <row r="22" spans="1:40" ht="15.6" x14ac:dyDescent="0.3">
      <c r="A22" s="38"/>
      <c r="B22" s="39"/>
      <c r="C22" s="44">
        <v>4</v>
      </c>
      <c r="D22" s="6">
        <v>19</v>
      </c>
      <c r="E22" s="16" t="s">
        <v>26</v>
      </c>
      <c r="F22" s="21">
        <f>2+272</f>
        <v>274</v>
      </c>
      <c r="G22" s="9">
        <v>0</v>
      </c>
      <c r="H22" s="9">
        <v>1</v>
      </c>
      <c r="I22" s="9">
        <v>0</v>
      </c>
      <c r="J22" s="9">
        <v>0</v>
      </c>
      <c r="K22" s="9">
        <v>0</v>
      </c>
      <c r="L22" s="9">
        <v>0</v>
      </c>
      <c r="M22" s="9">
        <v>1</v>
      </c>
      <c r="N22" s="9">
        <v>0</v>
      </c>
      <c r="O22" s="9">
        <v>0</v>
      </c>
      <c r="P22" s="9">
        <v>0</v>
      </c>
      <c r="Q22" s="9">
        <v>1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1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20">
        <f t="shared" si="1"/>
        <v>278</v>
      </c>
      <c r="AM22" s="20">
        <f t="shared" si="0"/>
        <v>4</v>
      </c>
      <c r="AN22" s="44">
        <f>SUM(AM22:AM25)</f>
        <v>10</v>
      </c>
    </row>
    <row r="23" spans="1:40" ht="15.6" x14ac:dyDescent="0.3">
      <c r="A23" s="40"/>
      <c r="B23" s="41"/>
      <c r="C23" s="45"/>
      <c r="D23" s="11">
        <v>20</v>
      </c>
      <c r="E23" s="18" t="s">
        <v>27</v>
      </c>
      <c r="F23" s="21">
        <f>6+34</f>
        <v>40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1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20">
        <f t="shared" si="1"/>
        <v>41</v>
      </c>
      <c r="AM23" s="20">
        <f t="shared" si="0"/>
        <v>1</v>
      </c>
      <c r="AN23" s="45"/>
    </row>
    <row r="24" spans="1:40" ht="15.6" x14ac:dyDescent="0.3">
      <c r="A24" s="40"/>
      <c r="B24" s="41"/>
      <c r="C24" s="45"/>
      <c r="D24" s="6">
        <v>21</v>
      </c>
      <c r="E24" s="17" t="s">
        <v>28</v>
      </c>
      <c r="F24" s="21">
        <f>-1+8+17</f>
        <v>24</v>
      </c>
      <c r="G24" s="9">
        <v>0</v>
      </c>
      <c r="H24" s="9">
        <v>0</v>
      </c>
      <c r="I24" s="9">
        <v>0</v>
      </c>
      <c r="J24" s="9">
        <v>1</v>
      </c>
      <c r="K24" s="9">
        <v>0</v>
      </c>
      <c r="L24" s="9">
        <v>0</v>
      </c>
      <c r="M24" s="9">
        <v>0</v>
      </c>
      <c r="N24" s="9">
        <v>1</v>
      </c>
      <c r="O24" s="9">
        <v>0</v>
      </c>
      <c r="P24" s="9">
        <v>1</v>
      </c>
      <c r="Q24" s="9">
        <v>0</v>
      </c>
      <c r="R24" s="9">
        <v>1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1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20">
        <f t="shared" si="1"/>
        <v>29</v>
      </c>
      <c r="AM24" s="20">
        <f t="shared" si="0"/>
        <v>5</v>
      </c>
      <c r="AN24" s="45"/>
    </row>
    <row r="25" spans="1:40" ht="16.2" thickBot="1" x14ac:dyDescent="0.35">
      <c r="A25" s="42"/>
      <c r="B25" s="43"/>
      <c r="C25" s="46"/>
      <c r="D25" s="11">
        <v>22</v>
      </c>
      <c r="E25" s="15" t="s">
        <v>29</v>
      </c>
      <c r="F25" s="21">
        <v>9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20">
        <f t="shared" si="1"/>
        <v>9</v>
      </c>
      <c r="AM25" s="20">
        <f t="shared" si="0"/>
        <v>0</v>
      </c>
      <c r="AN25" s="46"/>
    </row>
    <row r="26" spans="1:40" ht="15.6" x14ac:dyDescent="0.3">
      <c r="A26" s="38"/>
      <c r="B26" s="39"/>
      <c r="C26" s="44">
        <v>5</v>
      </c>
      <c r="D26" s="6">
        <v>23</v>
      </c>
      <c r="E26" s="16" t="s">
        <v>30</v>
      </c>
      <c r="F26" s="21">
        <f>2+51</f>
        <v>53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1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1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20">
        <f t="shared" si="1"/>
        <v>55</v>
      </c>
      <c r="AM26" s="20">
        <f t="shared" si="0"/>
        <v>2</v>
      </c>
      <c r="AN26" s="44">
        <f>SUM(AM26:AM36)</f>
        <v>5</v>
      </c>
    </row>
    <row r="27" spans="1:40" ht="15.6" x14ac:dyDescent="0.3">
      <c r="A27" s="40"/>
      <c r="B27" s="41"/>
      <c r="C27" s="45"/>
      <c r="D27" s="11">
        <v>24</v>
      </c>
      <c r="E27" s="17" t="s">
        <v>31</v>
      </c>
      <c r="F27" s="21">
        <f>5+136</f>
        <v>141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1</v>
      </c>
      <c r="AB27" s="9">
        <v>1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1</v>
      </c>
      <c r="AK27" s="9">
        <v>0</v>
      </c>
      <c r="AL27" s="20">
        <f t="shared" si="1"/>
        <v>144</v>
      </c>
      <c r="AM27" s="20">
        <f t="shared" si="0"/>
        <v>3</v>
      </c>
      <c r="AN27" s="45"/>
    </row>
    <row r="28" spans="1:40" ht="15.6" x14ac:dyDescent="0.3">
      <c r="A28" s="40"/>
      <c r="B28" s="41"/>
      <c r="C28" s="45"/>
      <c r="D28" s="6">
        <v>25</v>
      </c>
      <c r="E28" s="17" t="s">
        <v>32</v>
      </c>
      <c r="F28" s="21">
        <f>1+126</f>
        <v>127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20">
        <f t="shared" si="1"/>
        <v>127</v>
      </c>
      <c r="AM28" s="20">
        <f t="shared" si="0"/>
        <v>0</v>
      </c>
      <c r="AN28" s="45"/>
    </row>
    <row r="29" spans="1:40" ht="15.6" x14ac:dyDescent="0.3">
      <c r="A29" s="40"/>
      <c r="B29" s="41"/>
      <c r="C29" s="45"/>
      <c r="D29" s="11">
        <v>26</v>
      </c>
      <c r="E29" s="17" t="s">
        <v>33</v>
      </c>
      <c r="F29" s="21">
        <v>95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20">
        <f t="shared" si="1"/>
        <v>95</v>
      </c>
      <c r="AM29" s="20">
        <f t="shared" si="0"/>
        <v>0</v>
      </c>
      <c r="AN29" s="45"/>
    </row>
    <row r="30" spans="1:40" ht="15.6" x14ac:dyDescent="0.3">
      <c r="A30" s="40"/>
      <c r="B30" s="41"/>
      <c r="C30" s="45"/>
      <c r="D30" s="6">
        <v>27</v>
      </c>
      <c r="E30" s="17" t="s">
        <v>34</v>
      </c>
      <c r="F30" s="21">
        <f>95+4</f>
        <v>99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20">
        <f t="shared" si="1"/>
        <v>99</v>
      </c>
      <c r="AM30" s="20">
        <f t="shared" si="0"/>
        <v>0</v>
      </c>
      <c r="AN30" s="45"/>
    </row>
    <row r="31" spans="1:40" ht="15.6" x14ac:dyDescent="0.3">
      <c r="A31" s="40"/>
      <c r="B31" s="41"/>
      <c r="C31" s="45"/>
      <c r="D31" s="11">
        <v>28</v>
      </c>
      <c r="E31" s="17" t="s">
        <v>35</v>
      </c>
      <c r="F31" s="21">
        <v>4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20">
        <f t="shared" si="1"/>
        <v>4</v>
      </c>
      <c r="AM31" s="20">
        <f t="shared" si="0"/>
        <v>0</v>
      </c>
      <c r="AN31" s="45"/>
    </row>
    <row r="32" spans="1:40" ht="15.6" x14ac:dyDescent="0.3">
      <c r="A32" s="40"/>
      <c r="B32" s="41"/>
      <c r="C32" s="45"/>
      <c r="D32" s="6">
        <v>29</v>
      </c>
      <c r="E32" s="17" t="s">
        <v>36</v>
      </c>
      <c r="F32" s="21">
        <f>35+17+5</f>
        <v>57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20">
        <f t="shared" si="1"/>
        <v>57</v>
      </c>
      <c r="AM32" s="20">
        <f t="shared" si="0"/>
        <v>0</v>
      </c>
      <c r="AN32" s="45"/>
    </row>
    <row r="33" spans="1:40" ht="15.6" x14ac:dyDescent="0.3">
      <c r="A33" s="40"/>
      <c r="B33" s="41"/>
      <c r="C33" s="45"/>
      <c r="D33" s="11">
        <v>30</v>
      </c>
      <c r="E33" s="17" t="s">
        <v>37</v>
      </c>
      <c r="F33" s="21">
        <v>5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20">
        <f t="shared" si="1"/>
        <v>5</v>
      </c>
      <c r="AM33" s="20">
        <f t="shared" si="0"/>
        <v>0</v>
      </c>
      <c r="AN33" s="45"/>
    </row>
    <row r="34" spans="1:40" ht="15.6" x14ac:dyDescent="0.3">
      <c r="A34" s="40"/>
      <c r="B34" s="41"/>
      <c r="C34" s="45"/>
      <c r="D34" s="6">
        <v>31</v>
      </c>
      <c r="E34" s="17" t="s">
        <v>38</v>
      </c>
      <c r="F34" s="21">
        <v>3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20">
        <f t="shared" si="1"/>
        <v>3</v>
      </c>
      <c r="AM34" s="20">
        <f t="shared" si="0"/>
        <v>0</v>
      </c>
      <c r="AN34" s="45"/>
    </row>
    <row r="35" spans="1:40" ht="15.6" x14ac:dyDescent="0.3">
      <c r="A35" s="40"/>
      <c r="B35" s="41"/>
      <c r="C35" s="45"/>
      <c r="D35" s="11">
        <v>32</v>
      </c>
      <c r="E35" s="17" t="s">
        <v>39</v>
      </c>
      <c r="F35" s="21">
        <v>21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20">
        <f t="shared" si="1"/>
        <v>21</v>
      </c>
      <c r="AM35" s="20">
        <f t="shared" si="0"/>
        <v>0</v>
      </c>
      <c r="AN35" s="45"/>
    </row>
    <row r="36" spans="1:40" ht="16.2" thickBot="1" x14ac:dyDescent="0.35">
      <c r="A36" s="42"/>
      <c r="B36" s="43"/>
      <c r="C36" s="46"/>
      <c r="D36" s="6">
        <v>33</v>
      </c>
      <c r="E36" s="15" t="s">
        <v>40</v>
      </c>
      <c r="F36" s="21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20">
        <f t="shared" si="1"/>
        <v>0</v>
      </c>
      <c r="AM36" s="20">
        <f t="shared" si="0"/>
        <v>0</v>
      </c>
      <c r="AN36" s="46"/>
    </row>
    <row r="37" spans="1:40" ht="15.6" x14ac:dyDescent="0.3">
      <c r="A37" s="38"/>
      <c r="B37" s="39"/>
      <c r="C37" s="44">
        <v>6</v>
      </c>
      <c r="D37" s="11">
        <v>34</v>
      </c>
      <c r="E37" s="16" t="s">
        <v>41</v>
      </c>
      <c r="F37" s="21">
        <f>-7+18</f>
        <v>11</v>
      </c>
      <c r="G37" s="9">
        <v>0</v>
      </c>
      <c r="H37" s="9">
        <v>0</v>
      </c>
      <c r="I37" s="9">
        <v>0</v>
      </c>
      <c r="J37" s="9">
        <v>2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1</v>
      </c>
      <c r="Q37" s="9">
        <v>2</v>
      </c>
      <c r="R37" s="9">
        <v>0</v>
      </c>
      <c r="S37" s="9">
        <v>0</v>
      </c>
      <c r="T37" s="9">
        <v>2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20">
        <f t="shared" si="1"/>
        <v>18</v>
      </c>
      <c r="AM37" s="20">
        <f t="shared" si="0"/>
        <v>7</v>
      </c>
      <c r="AN37" s="44">
        <f>SUM(AM37:AM40)</f>
        <v>17</v>
      </c>
    </row>
    <row r="38" spans="1:40" ht="15.6" x14ac:dyDescent="0.3">
      <c r="A38" s="40"/>
      <c r="B38" s="41"/>
      <c r="C38" s="45"/>
      <c r="D38" s="6">
        <v>35</v>
      </c>
      <c r="E38" s="17" t="s">
        <v>42</v>
      </c>
      <c r="F38" s="21">
        <f>16+36</f>
        <v>52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1</v>
      </c>
      <c r="W38" s="9">
        <v>0</v>
      </c>
      <c r="X38" s="9">
        <v>0</v>
      </c>
      <c r="Y38" s="9">
        <v>1</v>
      </c>
      <c r="Z38" s="9">
        <v>0</v>
      </c>
      <c r="AA38" s="9">
        <v>1</v>
      </c>
      <c r="AB38" s="9">
        <v>0</v>
      </c>
      <c r="AC38" s="9">
        <v>0</v>
      </c>
      <c r="AD38" s="9">
        <v>0</v>
      </c>
      <c r="AE38" s="9">
        <v>0</v>
      </c>
      <c r="AF38" s="9">
        <v>1</v>
      </c>
      <c r="AG38" s="9">
        <v>0</v>
      </c>
      <c r="AH38" s="9">
        <v>0</v>
      </c>
      <c r="AI38" s="9">
        <v>1</v>
      </c>
      <c r="AJ38" s="9">
        <v>0</v>
      </c>
      <c r="AK38" s="9">
        <v>0</v>
      </c>
      <c r="AL38" s="20">
        <f t="shared" si="1"/>
        <v>57</v>
      </c>
      <c r="AM38" s="20">
        <f t="shared" si="0"/>
        <v>5</v>
      </c>
      <c r="AN38" s="45"/>
    </row>
    <row r="39" spans="1:40" ht="15.6" x14ac:dyDescent="0.3">
      <c r="A39" s="40"/>
      <c r="B39" s="41"/>
      <c r="C39" s="45"/>
      <c r="D39" s="11">
        <v>36</v>
      </c>
      <c r="E39" s="17" t="s">
        <v>43</v>
      </c>
      <c r="F39" s="21">
        <v>0</v>
      </c>
      <c r="G39" s="9">
        <v>0</v>
      </c>
      <c r="H39" s="9">
        <v>0</v>
      </c>
      <c r="I39" s="9">
        <v>1</v>
      </c>
      <c r="J39" s="9">
        <v>0</v>
      </c>
      <c r="K39" s="9">
        <v>0</v>
      </c>
      <c r="L39" s="9">
        <v>0</v>
      </c>
      <c r="M39" s="9">
        <v>0</v>
      </c>
      <c r="N39" s="9">
        <v>1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20">
        <f t="shared" si="1"/>
        <v>2</v>
      </c>
      <c r="AM39" s="20">
        <f t="shared" si="0"/>
        <v>2</v>
      </c>
      <c r="AN39" s="45"/>
    </row>
    <row r="40" spans="1:40" ht="16.2" thickBot="1" x14ac:dyDescent="0.35">
      <c r="A40" s="42"/>
      <c r="B40" s="43"/>
      <c r="C40" s="46"/>
      <c r="D40" s="6">
        <v>37</v>
      </c>
      <c r="E40" s="15" t="s">
        <v>44</v>
      </c>
      <c r="F40" s="21">
        <f>2+9</f>
        <v>11</v>
      </c>
      <c r="G40" s="9">
        <v>1</v>
      </c>
      <c r="H40" s="9">
        <v>0</v>
      </c>
      <c r="I40" s="9">
        <v>0</v>
      </c>
      <c r="J40" s="9">
        <v>1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1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20">
        <f t="shared" si="1"/>
        <v>14</v>
      </c>
      <c r="AM40" s="20">
        <f t="shared" si="0"/>
        <v>3</v>
      </c>
      <c r="AN40" s="46"/>
    </row>
  </sheetData>
  <mergeCells count="20">
    <mergeCell ref="A12:B14"/>
    <mergeCell ref="C12:C14"/>
    <mergeCell ref="AN12:AN14"/>
    <mergeCell ref="A2:AN2"/>
    <mergeCell ref="A3:B3"/>
    <mergeCell ref="A4:B11"/>
    <mergeCell ref="C4:C11"/>
    <mergeCell ref="AN4:AN11"/>
    <mergeCell ref="A15:B21"/>
    <mergeCell ref="C15:C21"/>
    <mergeCell ref="AN15:AN21"/>
    <mergeCell ref="A22:B25"/>
    <mergeCell ref="C22:C25"/>
    <mergeCell ref="AN22:AN25"/>
    <mergeCell ref="A26:B36"/>
    <mergeCell ref="C26:C36"/>
    <mergeCell ref="AN26:AN36"/>
    <mergeCell ref="A37:B40"/>
    <mergeCell ref="C37:C40"/>
    <mergeCell ref="AN37:AN40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4611-AA00-4C5A-A926-2BAD4211656D}">
  <dimension ref="A1:AL40"/>
  <sheetViews>
    <sheetView tabSelected="1" topLeftCell="L8" zoomScaleNormal="100" workbookViewId="0">
      <selection activeCell="AK4" sqref="AK4:AK40"/>
    </sheetView>
  </sheetViews>
  <sheetFormatPr defaultRowHeight="14.4" x14ac:dyDescent="0.3"/>
  <cols>
    <col min="1" max="2" width="8.5546875" customWidth="1"/>
    <col min="3" max="3" width="9.88671875" bestFit="1" customWidth="1"/>
    <col min="4" max="4" width="8.5546875" customWidth="1"/>
    <col min="5" max="5" width="44.5546875" bestFit="1" customWidth="1"/>
    <col min="37" max="37" width="17.33203125" bestFit="1" customWidth="1"/>
    <col min="38" max="38" width="15.109375" bestFit="1" customWidth="1"/>
  </cols>
  <sheetData>
    <row r="1" spans="1:38" ht="15" thickBot="1" x14ac:dyDescent="0.35"/>
    <row r="2" spans="1:38" ht="18.600000000000001" thickBot="1" x14ac:dyDescent="0.35">
      <c r="A2" s="47" t="s">
        <v>49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9"/>
    </row>
    <row r="3" spans="1:38" ht="18.600000000000001" thickBot="1" x14ac:dyDescent="0.35">
      <c r="A3" s="47" t="s">
        <v>0</v>
      </c>
      <c r="B3" s="48"/>
      <c r="C3" s="1" t="s">
        <v>1</v>
      </c>
      <c r="D3" s="2" t="s">
        <v>2</v>
      </c>
      <c r="E3" s="3" t="s">
        <v>3</v>
      </c>
      <c r="F3" s="4">
        <v>1</v>
      </c>
      <c r="G3" s="4">
        <v>2</v>
      </c>
      <c r="H3" s="4">
        <v>3</v>
      </c>
      <c r="I3" s="4">
        <v>4</v>
      </c>
      <c r="J3" s="4">
        <v>5</v>
      </c>
      <c r="K3" s="4">
        <v>6</v>
      </c>
      <c r="L3" s="4">
        <v>7</v>
      </c>
      <c r="M3" s="4">
        <v>8</v>
      </c>
      <c r="N3" s="4">
        <v>9</v>
      </c>
      <c r="O3" s="4">
        <v>10</v>
      </c>
      <c r="P3" s="4">
        <v>11</v>
      </c>
      <c r="Q3" s="4">
        <v>12</v>
      </c>
      <c r="R3" s="4">
        <v>13</v>
      </c>
      <c r="S3" s="4">
        <v>14</v>
      </c>
      <c r="T3" s="4">
        <v>15</v>
      </c>
      <c r="U3" s="4">
        <v>16</v>
      </c>
      <c r="V3" s="4">
        <v>17</v>
      </c>
      <c r="W3" s="4">
        <v>18</v>
      </c>
      <c r="X3" s="4">
        <v>19</v>
      </c>
      <c r="Y3" s="4">
        <v>20</v>
      </c>
      <c r="Z3" s="4">
        <v>21</v>
      </c>
      <c r="AA3" s="4">
        <v>22</v>
      </c>
      <c r="AB3" s="4">
        <v>23</v>
      </c>
      <c r="AC3" s="4">
        <v>24</v>
      </c>
      <c r="AD3" s="4">
        <v>25</v>
      </c>
      <c r="AE3" s="4">
        <v>26</v>
      </c>
      <c r="AF3" s="4">
        <v>27</v>
      </c>
      <c r="AG3" s="4">
        <v>28</v>
      </c>
      <c r="AH3" s="4">
        <v>29</v>
      </c>
      <c r="AI3" s="4">
        <v>30</v>
      </c>
      <c r="AJ3" s="4">
        <v>31</v>
      </c>
      <c r="AK3" s="4" t="s">
        <v>6</v>
      </c>
      <c r="AL3" s="5" t="s">
        <v>7</v>
      </c>
    </row>
    <row r="4" spans="1:38" ht="15.6" x14ac:dyDescent="0.3">
      <c r="A4" s="50"/>
      <c r="B4" s="50"/>
      <c r="C4" s="45">
        <v>1</v>
      </c>
      <c r="D4" s="6">
        <v>1</v>
      </c>
      <c r="E4" s="7" t="s">
        <v>8</v>
      </c>
      <c r="F4" s="9">
        <v>1</v>
      </c>
      <c r="G4" s="9">
        <v>1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1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20">
        <f>SUM(F4:AJ4)</f>
        <v>3</v>
      </c>
      <c r="AL4" s="44">
        <f>SUM(AK4:AK11)</f>
        <v>42</v>
      </c>
    </row>
    <row r="5" spans="1:38" ht="15.6" x14ac:dyDescent="0.3">
      <c r="A5" s="50"/>
      <c r="B5" s="50"/>
      <c r="C5" s="45"/>
      <c r="D5" s="11">
        <v>2</v>
      </c>
      <c r="E5" s="12" t="s">
        <v>9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20">
        <f t="shared" ref="AK5:AK40" si="0">SUM(F5:AJ5)</f>
        <v>0</v>
      </c>
      <c r="AL5" s="45"/>
    </row>
    <row r="6" spans="1:38" ht="15.6" x14ac:dyDescent="0.3">
      <c r="A6" s="51"/>
      <c r="B6" s="52"/>
      <c r="C6" s="45"/>
      <c r="D6" s="6">
        <v>3</v>
      </c>
      <c r="E6" s="12" t="s">
        <v>10</v>
      </c>
      <c r="F6" s="9">
        <v>1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2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1</v>
      </c>
      <c r="AH6" s="9">
        <v>0</v>
      </c>
      <c r="AI6" s="9">
        <v>0</v>
      </c>
      <c r="AJ6" s="9">
        <v>1</v>
      </c>
      <c r="AK6" s="20">
        <f t="shared" si="0"/>
        <v>5</v>
      </c>
      <c r="AL6" s="45"/>
    </row>
    <row r="7" spans="1:38" ht="15.6" x14ac:dyDescent="0.3">
      <c r="A7" s="51"/>
      <c r="B7" s="52"/>
      <c r="C7" s="45"/>
      <c r="D7" s="11">
        <v>4</v>
      </c>
      <c r="E7" s="12" t="s">
        <v>11</v>
      </c>
      <c r="F7" s="9">
        <v>1</v>
      </c>
      <c r="G7" s="9">
        <v>2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2</v>
      </c>
      <c r="O7" s="9">
        <v>1</v>
      </c>
      <c r="P7" s="9">
        <v>0</v>
      </c>
      <c r="Q7" s="9">
        <v>1</v>
      </c>
      <c r="R7" s="9">
        <v>0</v>
      </c>
      <c r="S7" s="9">
        <v>3</v>
      </c>
      <c r="T7" s="9">
        <v>0</v>
      </c>
      <c r="U7" s="9">
        <v>0</v>
      </c>
      <c r="V7" s="9">
        <v>1</v>
      </c>
      <c r="W7" s="9">
        <v>0</v>
      </c>
      <c r="X7" s="9">
        <v>0</v>
      </c>
      <c r="Y7" s="9">
        <v>0</v>
      </c>
      <c r="Z7" s="9">
        <v>1</v>
      </c>
      <c r="AA7" s="9">
        <v>2</v>
      </c>
      <c r="AB7" s="9">
        <v>0</v>
      </c>
      <c r="AC7" s="9">
        <v>0</v>
      </c>
      <c r="AD7" s="9">
        <v>0</v>
      </c>
      <c r="AE7" s="9">
        <v>2</v>
      </c>
      <c r="AF7" s="9">
        <v>1</v>
      </c>
      <c r="AG7" s="9">
        <v>3</v>
      </c>
      <c r="AH7" s="9">
        <v>1</v>
      </c>
      <c r="AI7" s="9">
        <v>0</v>
      </c>
      <c r="AJ7" s="9">
        <v>1</v>
      </c>
      <c r="AK7" s="20">
        <f t="shared" si="0"/>
        <v>23</v>
      </c>
      <c r="AL7" s="45"/>
    </row>
    <row r="8" spans="1:38" ht="15.6" x14ac:dyDescent="0.3">
      <c r="A8" s="51"/>
      <c r="B8" s="52"/>
      <c r="C8" s="45"/>
      <c r="D8" s="6">
        <v>5</v>
      </c>
      <c r="E8" s="12" t="s">
        <v>12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1</v>
      </c>
      <c r="AF8" s="9">
        <v>0</v>
      </c>
      <c r="AG8" s="9">
        <v>0</v>
      </c>
      <c r="AH8" s="9">
        <v>0</v>
      </c>
      <c r="AI8" s="9">
        <v>0</v>
      </c>
      <c r="AJ8" s="9">
        <v>1</v>
      </c>
      <c r="AK8" s="20">
        <f t="shared" si="0"/>
        <v>4</v>
      </c>
      <c r="AL8" s="45"/>
    </row>
    <row r="9" spans="1:38" ht="15.6" x14ac:dyDescent="0.3">
      <c r="A9" s="51"/>
      <c r="B9" s="52"/>
      <c r="C9" s="45"/>
      <c r="D9" s="11">
        <v>6</v>
      </c>
      <c r="E9" s="12" t="s">
        <v>13</v>
      </c>
      <c r="F9" s="9">
        <v>0</v>
      </c>
      <c r="G9" s="9">
        <v>1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1</v>
      </c>
      <c r="O9" s="9">
        <v>0</v>
      </c>
      <c r="P9" s="9">
        <v>0</v>
      </c>
      <c r="Q9" s="9">
        <v>0</v>
      </c>
      <c r="R9" s="9">
        <v>0</v>
      </c>
      <c r="S9" s="9">
        <v>1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1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20">
        <f t="shared" si="0"/>
        <v>4</v>
      </c>
      <c r="AL9" s="45"/>
    </row>
    <row r="10" spans="1:38" ht="15.6" x14ac:dyDescent="0.3">
      <c r="A10" s="51"/>
      <c r="B10" s="52"/>
      <c r="C10" s="45"/>
      <c r="D10" s="6">
        <v>7</v>
      </c>
      <c r="E10" s="12" t="s">
        <v>14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1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1</v>
      </c>
      <c r="AC10" s="9">
        <v>1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20">
        <f t="shared" si="0"/>
        <v>3</v>
      </c>
      <c r="AL10" s="45"/>
    </row>
    <row r="11" spans="1:38" ht="16.2" thickBot="1" x14ac:dyDescent="0.35">
      <c r="A11" s="53"/>
      <c r="B11" s="54"/>
      <c r="C11" s="46"/>
      <c r="D11" s="11">
        <v>8</v>
      </c>
      <c r="E11" s="13" t="s">
        <v>15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20">
        <f t="shared" si="0"/>
        <v>0</v>
      </c>
      <c r="AL11" s="46"/>
    </row>
    <row r="12" spans="1:38" ht="15.6" x14ac:dyDescent="0.3">
      <c r="A12" s="38"/>
      <c r="B12" s="39"/>
      <c r="C12" s="44">
        <v>2</v>
      </c>
      <c r="D12" s="6">
        <v>9</v>
      </c>
      <c r="E12" s="14" t="s">
        <v>16</v>
      </c>
      <c r="F12" s="9">
        <v>0</v>
      </c>
      <c r="G12" s="9">
        <v>1</v>
      </c>
      <c r="H12" s="9">
        <v>0</v>
      </c>
      <c r="I12" s="9">
        <v>0</v>
      </c>
      <c r="J12" s="9">
        <v>2</v>
      </c>
      <c r="K12" s="9">
        <v>2</v>
      </c>
      <c r="L12" s="9">
        <v>0</v>
      </c>
      <c r="M12" s="9">
        <v>0</v>
      </c>
      <c r="N12" s="9">
        <v>1</v>
      </c>
      <c r="O12" s="9">
        <v>0</v>
      </c>
      <c r="P12" s="9">
        <v>0</v>
      </c>
      <c r="Q12" s="9">
        <v>1</v>
      </c>
      <c r="R12" s="9">
        <v>0</v>
      </c>
      <c r="S12" s="9">
        <v>0</v>
      </c>
      <c r="T12" s="9">
        <v>1</v>
      </c>
      <c r="U12" s="9">
        <v>2</v>
      </c>
      <c r="V12" s="9">
        <v>4</v>
      </c>
      <c r="W12" s="9">
        <v>1</v>
      </c>
      <c r="X12" s="9">
        <v>0</v>
      </c>
      <c r="Y12" s="9">
        <v>0</v>
      </c>
      <c r="Z12" s="9">
        <v>0</v>
      </c>
      <c r="AA12" s="9">
        <v>0</v>
      </c>
      <c r="AB12" s="9">
        <v>1</v>
      </c>
      <c r="AC12" s="9">
        <v>0</v>
      </c>
      <c r="AD12" s="9">
        <v>1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20">
        <f t="shared" si="0"/>
        <v>17</v>
      </c>
      <c r="AL12" s="44">
        <f>SUM(AK12:AK14)</f>
        <v>53</v>
      </c>
    </row>
    <row r="13" spans="1:38" ht="15.6" x14ac:dyDescent="0.3">
      <c r="A13" s="40"/>
      <c r="B13" s="41"/>
      <c r="C13" s="45"/>
      <c r="D13" s="11">
        <v>10</v>
      </c>
      <c r="E13" s="12" t="s">
        <v>17</v>
      </c>
      <c r="F13" s="9">
        <v>1</v>
      </c>
      <c r="G13" s="9">
        <v>0</v>
      </c>
      <c r="H13" s="9">
        <v>1</v>
      </c>
      <c r="I13" s="9">
        <v>1</v>
      </c>
      <c r="J13" s="9">
        <v>0</v>
      </c>
      <c r="K13" s="9">
        <v>1</v>
      </c>
      <c r="L13" s="9">
        <v>1</v>
      </c>
      <c r="M13" s="9">
        <v>2</v>
      </c>
      <c r="N13" s="9">
        <v>1</v>
      </c>
      <c r="O13" s="9">
        <v>0</v>
      </c>
      <c r="P13" s="9">
        <v>2</v>
      </c>
      <c r="Q13" s="9">
        <v>1</v>
      </c>
      <c r="R13" s="9">
        <v>0</v>
      </c>
      <c r="S13" s="9">
        <v>3</v>
      </c>
      <c r="T13" s="9">
        <v>2</v>
      </c>
      <c r="U13" s="9">
        <v>2</v>
      </c>
      <c r="V13" s="9">
        <v>1</v>
      </c>
      <c r="W13" s="9">
        <v>7</v>
      </c>
      <c r="X13" s="9">
        <v>0</v>
      </c>
      <c r="Y13" s="9">
        <v>0</v>
      </c>
      <c r="Z13" s="9">
        <v>0</v>
      </c>
      <c r="AA13" s="9">
        <v>0</v>
      </c>
      <c r="AB13" s="9">
        <v>1</v>
      </c>
      <c r="AC13" s="9">
        <v>4</v>
      </c>
      <c r="AD13" s="9">
        <v>2</v>
      </c>
      <c r="AE13" s="9">
        <v>1</v>
      </c>
      <c r="AF13" s="9">
        <v>0</v>
      </c>
      <c r="AG13" s="9">
        <v>1</v>
      </c>
      <c r="AH13" s="9">
        <v>1</v>
      </c>
      <c r="AI13" s="9">
        <v>0</v>
      </c>
      <c r="AJ13" s="9">
        <v>0</v>
      </c>
      <c r="AK13" s="20">
        <f t="shared" si="0"/>
        <v>36</v>
      </c>
      <c r="AL13" s="45"/>
    </row>
    <row r="14" spans="1:38" ht="16.2" thickBot="1" x14ac:dyDescent="0.35">
      <c r="A14" s="42"/>
      <c r="B14" s="43"/>
      <c r="C14" s="46"/>
      <c r="D14" s="6">
        <v>11</v>
      </c>
      <c r="E14" s="15" t="s">
        <v>18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20">
        <f t="shared" si="0"/>
        <v>0</v>
      </c>
      <c r="AL14" s="46"/>
    </row>
    <row r="15" spans="1:38" ht="15.6" x14ac:dyDescent="0.3">
      <c r="A15" s="38"/>
      <c r="B15" s="39"/>
      <c r="C15" s="44">
        <v>3</v>
      </c>
      <c r="D15" s="11">
        <v>12</v>
      </c>
      <c r="E15" s="16" t="s">
        <v>19</v>
      </c>
      <c r="F15" s="9">
        <v>0</v>
      </c>
      <c r="G15" s="9">
        <v>0</v>
      </c>
      <c r="H15" s="9">
        <v>0</v>
      </c>
      <c r="I15" s="9">
        <v>0</v>
      </c>
      <c r="J15" s="9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20">
        <f t="shared" si="0"/>
        <v>1</v>
      </c>
      <c r="AL15" s="44">
        <f>SUM(AK15:AK21)</f>
        <v>1</v>
      </c>
    </row>
    <row r="16" spans="1:38" ht="15.6" x14ac:dyDescent="0.3">
      <c r="A16" s="40"/>
      <c r="B16" s="41"/>
      <c r="C16" s="45"/>
      <c r="D16" s="6">
        <v>13</v>
      </c>
      <c r="E16" s="17" t="s">
        <v>20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20">
        <f t="shared" si="0"/>
        <v>0</v>
      </c>
      <c r="AL16" s="45"/>
    </row>
    <row r="17" spans="1:38" ht="15.6" x14ac:dyDescent="0.3">
      <c r="A17" s="40"/>
      <c r="B17" s="41"/>
      <c r="C17" s="45"/>
      <c r="D17" s="11">
        <v>14</v>
      </c>
      <c r="E17" s="17" t="s">
        <v>21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20">
        <f t="shared" si="0"/>
        <v>0</v>
      </c>
      <c r="AL17" s="45"/>
    </row>
    <row r="18" spans="1:38" ht="15.6" x14ac:dyDescent="0.3">
      <c r="A18" s="40"/>
      <c r="B18" s="41"/>
      <c r="C18" s="45"/>
      <c r="D18" s="6">
        <v>15</v>
      </c>
      <c r="E18" s="17" t="s">
        <v>22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20">
        <f t="shared" si="0"/>
        <v>0</v>
      </c>
      <c r="AL18" s="45"/>
    </row>
    <row r="19" spans="1:38" ht="15.6" x14ac:dyDescent="0.3">
      <c r="A19" s="40"/>
      <c r="B19" s="41"/>
      <c r="C19" s="45"/>
      <c r="D19" s="11">
        <v>16</v>
      </c>
      <c r="E19" s="17" t="s">
        <v>23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20">
        <f t="shared" si="0"/>
        <v>0</v>
      </c>
      <c r="AL19" s="45"/>
    </row>
    <row r="20" spans="1:38" ht="15.6" x14ac:dyDescent="0.3">
      <c r="A20" s="40"/>
      <c r="B20" s="41"/>
      <c r="C20" s="45"/>
      <c r="D20" s="6">
        <v>17</v>
      </c>
      <c r="E20" s="17" t="s">
        <v>24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20">
        <f t="shared" si="0"/>
        <v>0</v>
      </c>
      <c r="AL20" s="45"/>
    </row>
    <row r="21" spans="1:38" ht="16.2" thickBot="1" x14ac:dyDescent="0.35">
      <c r="A21" s="42"/>
      <c r="B21" s="43"/>
      <c r="C21" s="46"/>
      <c r="D21" s="11">
        <v>18</v>
      </c>
      <c r="E21" s="15" t="s">
        <v>25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20">
        <f t="shared" si="0"/>
        <v>0</v>
      </c>
      <c r="AL21" s="46"/>
    </row>
    <row r="22" spans="1:38" ht="15.6" x14ac:dyDescent="0.3">
      <c r="A22" s="38"/>
      <c r="B22" s="39"/>
      <c r="C22" s="44">
        <v>4</v>
      </c>
      <c r="D22" s="6">
        <v>19</v>
      </c>
      <c r="E22" s="16" t="s">
        <v>26</v>
      </c>
      <c r="F22" s="9">
        <v>0</v>
      </c>
      <c r="G22" s="9">
        <v>0</v>
      </c>
      <c r="H22" s="9">
        <v>0</v>
      </c>
      <c r="I22" s="9">
        <v>1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1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20">
        <f t="shared" si="0"/>
        <v>2</v>
      </c>
      <c r="AL22" s="44">
        <f>SUM(AK22:AK25)</f>
        <v>5</v>
      </c>
    </row>
    <row r="23" spans="1:38" ht="15.6" x14ac:dyDescent="0.3">
      <c r="A23" s="40"/>
      <c r="B23" s="41"/>
      <c r="C23" s="45"/>
      <c r="D23" s="11">
        <v>20</v>
      </c>
      <c r="E23" s="18" t="s">
        <v>27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1</v>
      </c>
      <c r="O23" s="9">
        <v>0</v>
      </c>
      <c r="P23" s="9">
        <v>0</v>
      </c>
      <c r="Q23" s="9">
        <v>0</v>
      </c>
      <c r="R23" s="9">
        <v>0</v>
      </c>
      <c r="S23" s="9">
        <v>1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20">
        <f t="shared" si="0"/>
        <v>2</v>
      </c>
      <c r="AL23" s="45"/>
    </row>
    <row r="24" spans="1:38" ht="15.6" x14ac:dyDescent="0.3">
      <c r="A24" s="40"/>
      <c r="B24" s="41"/>
      <c r="C24" s="45"/>
      <c r="D24" s="6">
        <v>21</v>
      </c>
      <c r="E24" s="17" t="s">
        <v>28</v>
      </c>
      <c r="F24" s="9">
        <v>0</v>
      </c>
      <c r="G24" s="9">
        <v>0</v>
      </c>
      <c r="H24" s="9">
        <v>0</v>
      </c>
      <c r="I24" s="9">
        <v>0</v>
      </c>
      <c r="J24" s="9">
        <v>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20">
        <f t="shared" si="0"/>
        <v>1</v>
      </c>
      <c r="AL24" s="45"/>
    </row>
    <row r="25" spans="1:38" ht="16.2" thickBot="1" x14ac:dyDescent="0.35">
      <c r="A25" s="42"/>
      <c r="B25" s="43"/>
      <c r="C25" s="46"/>
      <c r="D25" s="11">
        <v>22</v>
      </c>
      <c r="E25" s="15" t="s">
        <v>29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20">
        <f t="shared" si="0"/>
        <v>0</v>
      </c>
      <c r="AL25" s="46"/>
    </row>
    <row r="26" spans="1:38" ht="15.6" x14ac:dyDescent="0.3">
      <c r="A26" s="38"/>
      <c r="B26" s="39"/>
      <c r="C26" s="44">
        <v>5</v>
      </c>
      <c r="D26" s="6">
        <v>23</v>
      </c>
      <c r="E26" s="16" t="s">
        <v>30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20">
        <f t="shared" si="0"/>
        <v>0</v>
      </c>
      <c r="AL26" s="44">
        <f>SUM(AK26:AK36)</f>
        <v>1</v>
      </c>
    </row>
    <row r="27" spans="1:38" ht="15.6" x14ac:dyDescent="0.3">
      <c r="A27" s="40"/>
      <c r="B27" s="41"/>
      <c r="C27" s="45"/>
      <c r="D27" s="11">
        <v>24</v>
      </c>
      <c r="E27" s="17" t="s">
        <v>31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1</v>
      </c>
      <c r="AH27" s="9">
        <v>0</v>
      </c>
      <c r="AI27" s="9">
        <v>0</v>
      </c>
      <c r="AJ27" s="9">
        <v>0</v>
      </c>
      <c r="AK27" s="20">
        <f t="shared" si="0"/>
        <v>1</v>
      </c>
      <c r="AL27" s="45"/>
    </row>
    <row r="28" spans="1:38" ht="15.6" x14ac:dyDescent="0.3">
      <c r="A28" s="40"/>
      <c r="B28" s="41"/>
      <c r="C28" s="45"/>
      <c r="D28" s="6">
        <v>25</v>
      </c>
      <c r="E28" s="17" t="s">
        <v>32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20">
        <f t="shared" si="0"/>
        <v>0</v>
      </c>
      <c r="AL28" s="45"/>
    </row>
    <row r="29" spans="1:38" ht="15.6" x14ac:dyDescent="0.3">
      <c r="A29" s="40"/>
      <c r="B29" s="41"/>
      <c r="C29" s="45"/>
      <c r="D29" s="11">
        <v>26</v>
      </c>
      <c r="E29" s="17" t="s">
        <v>33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20">
        <f t="shared" si="0"/>
        <v>0</v>
      </c>
      <c r="AL29" s="45"/>
    </row>
    <row r="30" spans="1:38" ht="15.6" x14ac:dyDescent="0.3">
      <c r="A30" s="40"/>
      <c r="B30" s="41"/>
      <c r="C30" s="45"/>
      <c r="D30" s="6">
        <v>27</v>
      </c>
      <c r="E30" s="17" t="s">
        <v>34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20">
        <f t="shared" si="0"/>
        <v>0</v>
      </c>
      <c r="AL30" s="45"/>
    </row>
    <row r="31" spans="1:38" ht="15.6" x14ac:dyDescent="0.3">
      <c r="A31" s="40"/>
      <c r="B31" s="41"/>
      <c r="C31" s="45"/>
      <c r="D31" s="11">
        <v>28</v>
      </c>
      <c r="E31" s="17" t="s">
        <v>35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20">
        <f t="shared" si="0"/>
        <v>0</v>
      </c>
      <c r="AL31" s="45"/>
    </row>
    <row r="32" spans="1:38" ht="15.6" x14ac:dyDescent="0.3">
      <c r="A32" s="40"/>
      <c r="B32" s="41"/>
      <c r="C32" s="45"/>
      <c r="D32" s="6">
        <v>29</v>
      </c>
      <c r="E32" s="17" t="s">
        <v>36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20">
        <f t="shared" si="0"/>
        <v>0</v>
      </c>
      <c r="AL32" s="45"/>
    </row>
    <row r="33" spans="1:38" ht="15.6" x14ac:dyDescent="0.3">
      <c r="A33" s="40"/>
      <c r="B33" s="41"/>
      <c r="C33" s="45"/>
      <c r="D33" s="11">
        <v>30</v>
      </c>
      <c r="E33" s="17" t="s">
        <v>37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20">
        <f t="shared" si="0"/>
        <v>0</v>
      </c>
      <c r="AL33" s="45"/>
    </row>
    <row r="34" spans="1:38" ht="15.6" x14ac:dyDescent="0.3">
      <c r="A34" s="40"/>
      <c r="B34" s="41"/>
      <c r="C34" s="45"/>
      <c r="D34" s="6">
        <v>31</v>
      </c>
      <c r="E34" s="17" t="s">
        <v>38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20">
        <f t="shared" si="0"/>
        <v>0</v>
      </c>
      <c r="AL34" s="45"/>
    </row>
    <row r="35" spans="1:38" ht="15.6" x14ac:dyDescent="0.3">
      <c r="A35" s="40"/>
      <c r="B35" s="41"/>
      <c r="C35" s="45"/>
      <c r="D35" s="11">
        <v>32</v>
      </c>
      <c r="E35" s="17" t="s">
        <v>39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20">
        <f t="shared" si="0"/>
        <v>0</v>
      </c>
      <c r="AL35" s="45"/>
    </row>
    <row r="36" spans="1:38" ht="16.2" thickBot="1" x14ac:dyDescent="0.35">
      <c r="A36" s="42"/>
      <c r="B36" s="43"/>
      <c r="C36" s="46"/>
      <c r="D36" s="6">
        <v>33</v>
      </c>
      <c r="E36" s="15" t="s">
        <v>40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20">
        <f t="shared" si="0"/>
        <v>0</v>
      </c>
      <c r="AL36" s="46"/>
    </row>
    <row r="37" spans="1:38" ht="15.6" x14ac:dyDescent="0.3">
      <c r="A37" s="38"/>
      <c r="B37" s="39"/>
      <c r="C37" s="44">
        <v>6</v>
      </c>
      <c r="D37" s="11">
        <v>34</v>
      </c>
      <c r="E37" s="16" t="s">
        <v>41</v>
      </c>
      <c r="F37" s="9">
        <v>1</v>
      </c>
      <c r="G37" s="9">
        <v>0</v>
      </c>
      <c r="H37" s="9">
        <v>1</v>
      </c>
      <c r="I37" s="9">
        <v>1</v>
      </c>
      <c r="J37" s="9">
        <v>0</v>
      </c>
      <c r="K37" s="9">
        <v>0</v>
      </c>
      <c r="L37" s="9">
        <v>1</v>
      </c>
      <c r="M37" s="9">
        <v>0</v>
      </c>
      <c r="N37" s="9">
        <v>1</v>
      </c>
      <c r="O37" s="9">
        <v>1</v>
      </c>
      <c r="P37" s="9">
        <v>1</v>
      </c>
      <c r="Q37" s="9">
        <v>0</v>
      </c>
      <c r="R37" s="9">
        <v>0</v>
      </c>
      <c r="S37" s="9">
        <v>3</v>
      </c>
      <c r="T37" s="9">
        <v>0</v>
      </c>
      <c r="U37" s="9">
        <v>2</v>
      </c>
      <c r="V37" s="9">
        <v>2</v>
      </c>
      <c r="W37" s="9">
        <v>1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1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20">
        <f t="shared" si="0"/>
        <v>16</v>
      </c>
      <c r="AL37" s="44">
        <f>SUM(AK37:AK40)</f>
        <v>25</v>
      </c>
    </row>
    <row r="38" spans="1:38" ht="15.6" x14ac:dyDescent="0.3">
      <c r="A38" s="40"/>
      <c r="B38" s="41"/>
      <c r="C38" s="45"/>
      <c r="D38" s="6">
        <v>35</v>
      </c>
      <c r="E38" s="17" t="s">
        <v>42</v>
      </c>
      <c r="F38" s="9">
        <v>2</v>
      </c>
      <c r="G38" s="9">
        <v>0</v>
      </c>
      <c r="H38" s="9">
        <v>0</v>
      </c>
      <c r="I38" s="9">
        <v>1</v>
      </c>
      <c r="J38" s="9">
        <v>1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20">
        <f t="shared" si="0"/>
        <v>4</v>
      </c>
      <c r="AL38" s="45"/>
    </row>
    <row r="39" spans="1:38" ht="15.6" x14ac:dyDescent="0.3">
      <c r="A39" s="40"/>
      <c r="B39" s="41"/>
      <c r="C39" s="45"/>
      <c r="D39" s="11">
        <v>36</v>
      </c>
      <c r="E39" s="17" t="s">
        <v>43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20">
        <f t="shared" si="0"/>
        <v>0</v>
      </c>
      <c r="AL39" s="45"/>
    </row>
    <row r="40" spans="1:38" ht="16.2" thickBot="1" x14ac:dyDescent="0.35">
      <c r="A40" s="42"/>
      <c r="B40" s="43"/>
      <c r="C40" s="46"/>
      <c r="D40" s="6">
        <v>37</v>
      </c>
      <c r="E40" s="15" t="s">
        <v>44</v>
      </c>
      <c r="F40" s="9">
        <v>1</v>
      </c>
      <c r="G40" s="9">
        <v>1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1</v>
      </c>
      <c r="P40" s="9">
        <v>0</v>
      </c>
      <c r="Q40" s="9">
        <v>1</v>
      </c>
      <c r="R40" s="9">
        <v>0</v>
      </c>
      <c r="S40" s="9">
        <v>1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20">
        <f t="shared" si="0"/>
        <v>5</v>
      </c>
      <c r="AL40" s="46"/>
    </row>
  </sheetData>
  <mergeCells count="20">
    <mergeCell ref="A12:B14"/>
    <mergeCell ref="C12:C14"/>
    <mergeCell ref="AL12:AL14"/>
    <mergeCell ref="A2:AL2"/>
    <mergeCell ref="A3:B3"/>
    <mergeCell ref="A4:B11"/>
    <mergeCell ref="C4:C11"/>
    <mergeCell ref="AL4:AL11"/>
    <mergeCell ref="A15:B21"/>
    <mergeCell ref="C15:C21"/>
    <mergeCell ref="AL15:AL21"/>
    <mergeCell ref="A22:B25"/>
    <mergeCell ref="C22:C25"/>
    <mergeCell ref="AL22:AL25"/>
    <mergeCell ref="A26:B36"/>
    <mergeCell ref="C26:C36"/>
    <mergeCell ref="AL26:AL36"/>
    <mergeCell ref="A37:B40"/>
    <mergeCell ref="C37:C40"/>
    <mergeCell ref="AL37:AL4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924F-B3B9-40E7-98D8-00550513234D}">
  <dimension ref="A1:AL40"/>
  <sheetViews>
    <sheetView topLeftCell="L3" zoomScaleNormal="100" workbookViewId="0">
      <selection activeCell="AB30" sqref="AB30"/>
    </sheetView>
  </sheetViews>
  <sheetFormatPr defaultRowHeight="14.4" x14ac:dyDescent="0.3"/>
  <cols>
    <col min="1" max="2" width="8.5546875" customWidth="1"/>
    <col min="3" max="3" width="9.88671875" bestFit="1" customWidth="1"/>
    <col min="4" max="4" width="8.5546875" customWidth="1"/>
    <col min="5" max="5" width="44.5546875" bestFit="1" customWidth="1"/>
    <col min="37" max="37" width="17.33203125" bestFit="1" customWidth="1"/>
    <col min="38" max="38" width="15.109375" bestFit="1" customWidth="1"/>
  </cols>
  <sheetData>
    <row r="1" spans="1:38" ht="15" thickBot="1" x14ac:dyDescent="0.35"/>
    <row r="2" spans="1:38" ht="18.600000000000001" thickBot="1" x14ac:dyDescent="0.35">
      <c r="A2" s="47" t="s">
        <v>50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9"/>
    </row>
    <row r="3" spans="1:38" ht="18.600000000000001" thickBot="1" x14ac:dyDescent="0.35">
      <c r="A3" s="47" t="s">
        <v>0</v>
      </c>
      <c r="B3" s="48"/>
      <c r="C3" s="1" t="s">
        <v>1</v>
      </c>
      <c r="D3" s="2" t="s">
        <v>2</v>
      </c>
      <c r="E3" s="3" t="s">
        <v>3</v>
      </c>
      <c r="F3" s="4">
        <v>1</v>
      </c>
      <c r="G3" s="4">
        <v>2</v>
      </c>
      <c r="H3" s="4">
        <v>3</v>
      </c>
      <c r="I3" s="4">
        <v>4</v>
      </c>
      <c r="J3" s="4">
        <v>5</v>
      </c>
      <c r="K3" s="4">
        <v>6</v>
      </c>
      <c r="L3" s="4">
        <v>7</v>
      </c>
      <c r="M3" s="4">
        <v>8</v>
      </c>
      <c r="N3" s="4">
        <v>9</v>
      </c>
      <c r="O3" s="4">
        <v>10</v>
      </c>
      <c r="P3" s="4">
        <v>11</v>
      </c>
      <c r="Q3" s="4">
        <v>12</v>
      </c>
      <c r="R3" s="4">
        <v>13</v>
      </c>
      <c r="S3" s="4">
        <v>14</v>
      </c>
      <c r="T3" s="4">
        <v>15</v>
      </c>
      <c r="U3" s="4">
        <v>16</v>
      </c>
      <c r="V3" s="4">
        <v>17</v>
      </c>
      <c r="W3" s="4">
        <v>18</v>
      </c>
      <c r="X3" s="4">
        <v>19</v>
      </c>
      <c r="Y3" s="4">
        <v>20</v>
      </c>
      <c r="Z3" s="4">
        <v>21</v>
      </c>
      <c r="AA3" s="4">
        <v>22</v>
      </c>
      <c r="AB3" s="4">
        <v>23</v>
      </c>
      <c r="AC3" s="4">
        <v>24</v>
      </c>
      <c r="AD3" s="4">
        <v>25</v>
      </c>
      <c r="AE3" s="4">
        <v>26</v>
      </c>
      <c r="AF3" s="4">
        <v>27</v>
      </c>
      <c r="AG3" s="4">
        <v>28</v>
      </c>
      <c r="AH3" s="4">
        <v>29</v>
      </c>
      <c r="AI3" s="4">
        <v>30</v>
      </c>
      <c r="AJ3" s="4">
        <v>31</v>
      </c>
      <c r="AK3" s="4" t="s">
        <v>6</v>
      </c>
      <c r="AL3" s="5" t="s">
        <v>7</v>
      </c>
    </row>
    <row r="4" spans="1:38" ht="15.6" x14ac:dyDescent="0.3">
      <c r="A4" s="50"/>
      <c r="B4" s="50"/>
      <c r="C4" s="45">
        <v>1</v>
      </c>
      <c r="D4" s="6">
        <v>1</v>
      </c>
      <c r="E4" s="7" t="s">
        <v>8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>
        <v>0</v>
      </c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8">
        <f>SUM(F4:AJ4)</f>
        <v>0</v>
      </c>
      <c r="AL4" s="44">
        <f>SUM(AK4:AK11)</f>
        <v>0</v>
      </c>
    </row>
    <row r="5" spans="1:38" ht="15.6" x14ac:dyDescent="0.3">
      <c r="A5" s="50"/>
      <c r="B5" s="50"/>
      <c r="C5" s="45"/>
      <c r="D5" s="11">
        <v>2</v>
      </c>
      <c r="E5" s="12" t="s">
        <v>9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8">
        <f t="shared" ref="AK5:AK40" si="0">SUM(F5:AJ5)</f>
        <v>0</v>
      </c>
      <c r="AL5" s="45"/>
    </row>
    <row r="6" spans="1:38" ht="15.6" x14ac:dyDescent="0.3">
      <c r="A6" s="51"/>
      <c r="B6" s="52"/>
      <c r="C6" s="45"/>
      <c r="D6" s="6">
        <v>3</v>
      </c>
      <c r="E6" s="12" t="s">
        <v>10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8">
        <f t="shared" si="0"/>
        <v>0</v>
      </c>
      <c r="AL6" s="45"/>
    </row>
    <row r="7" spans="1:38" ht="15.6" x14ac:dyDescent="0.3">
      <c r="A7" s="51"/>
      <c r="B7" s="52"/>
      <c r="C7" s="45"/>
      <c r="D7" s="11">
        <v>4</v>
      </c>
      <c r="E7" s="12" t="s">
        <v>11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8">
        <f t="shared" si="0"/>
        <v>0</v>
      </c>
      <c r="AL7" s="45"/>
    </row>
    <row r="8" spans="1:38" ht="15.6" x14ac:dyDescent="0.3">
      <c r="A8" s="51"/>
      <c r="B8" s="52"/>
      <c r="C8" s="45"/>
      <c r="D8" s="6">
        <v>5</v>
      </c>
      <c r="E8" s="12" t="s">
        <v>12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8">
        <f t="shared" si="0"/>
        <v>0</v>
      </c>
      <c r="AL8" s="45"/>
    </row>
    <row r="9" spans="1:38" ht="15.6" x14ac:dyDescent="0.3">
      <c r="A9" s="51"/>
      <c r="B9" s="52"/>
      <c r="C9" s="45"/>
      <c r="D9" s="11">
        <v>6</v>
      </c>
      <c r="E9" s="12" t="s">
        <v>13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8">
        <f t="shared" si="0"/>
        <v>0</v>
      </c>
      <c r="AL9" s="45"/>
    </row>
    <row r="10" spans="1:38" ht="15.6" x14ac:dyDescent="0.3">
      <c r="A10" s="51"/>
      <c r="B10" s="52"/>
      <c r="C10" s="45"/>
      <c r="D10" s="6">
        <v>7</v>
      </c>
      <c r="E10" s="12" t="s">
        <v>14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8">
        <f t="shared" si="0"/>
        <v>0</v>
      </c>
      <c r="AL10" s="45"/>
    </row>
    <row r="11" spans="1:38" ht="16.2" thickBot="1" x14ac:dyDescent="0.35">
      <c r="A11" s="53"/>
      <c r="B11" s="54"/>
      <c r="C11" s="46"/>
      <c r="D11" s="11">
        <v>8</v>
      </c>
      <c r="E11" s="13" t="s">
        <v>15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8">
        <f t="shared" si="0"/>
        <v>0</v>
      </c>
      <c r="AL11" s="46"/>
    </row>
    <row r="12" spans="1:38" ht="15.6" x14ac:dyDescent="0.3">
      <c r="A12" s="38"/>
      <c r="B12" s="39"/>
      <c r="C12" s="44">
        <v>2</v>
      </c>
      <c r="D12" s="6">
        <v>9</v>
      </c>
      <c r="E12" s="14" t="s">
        <v>16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8">
        <f t="shared" si="0"/>
        <v>0</v>
      </c>
      <c r="AL12" s="44">
        <f>SUM(AK12:AK14)</f>
        <v>1000</v>
      </c>
    </row>
    <row r="13" spans="1:38" ht="15.6" x14ac:dyDescent="0.3">
      <c r="A13" s="40"/>
      <c r="B13" s="41"/>
      <c r="C13" s="45"/>
      <c r="D13" s="11">
        <v>10</v>
      </c>
      <c r="E13" s="12" t="s">
        <v>17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>
        <v>1000</v>
      </c>
      <c r="AC13" s="22"/>
      <c r="AD13" s="22"/>
      <c r="AE13" s="22"/>
      <c r="AF13" s="22"/>
      <c r="AG13" s="22"/>
      <c r="AH13" s="22"/>
      <c r="AI13" s="22"/>
      <c r="AJ13" s="22"/>
      <c r="AK13" s="8">
        <f t="shared" si="0"/>
        <v>1000</v>
      </c>
      <c r="AL13" s="45"/>
    </row>
    <row r="14" spans="1:38" ht="16.2" thickBot="1" x14ac:dyDescent="0.35">
      <c r="A14" s="42"/>
      <c r="B14" s="43"/>
      <c r="C14" s="46"/>
      <c r="D14" s="6">
        <v>11</v>
      </c>
      <c r="E14" s="15" t="s">
        <v>18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8">
        <f t="shared" si="0"/>
        <v>0</v>
      </c>
      <c r="AL14" s="46"/>
    </row>
    <row r="15" spans="1:38" ht="15.6" x14ac:dyDescent="0.3">
      <c r="A15" s="38"/>
      <c r="B15" s="39"/>
      <c r="C15" s="44">
        <v>3</v>
      </c>
      <c r="D15" s="11">
        <v>12</v>
      </c>
      <c r="E15" s="16" t="s">
        <v>19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8">
        <f t="shared" si="0"/>
        <v>0</v>
      </c>
      <c r="AL15" s="44">
        <f>SUM(AK15:AK21)</f>
        <v>0</v>
      </c>
    </row>
    <row r="16" spans="1:38" ht="15.6" x14ac:dyDescent="0.3">
      <c r="A16" s="40"/>
      <c r="B16" s="41"/>
      <c r="C16" s="45"/>
      <c r="D16" s="6">
        <v>13</v>
      </c>
      <c r="E16" s="17" t="s">
        <v>20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8">
        <f t="shared" si="0"/>
        <v>0</v>
      </c>
      <c r="AL16" s="45"/>
    </row>
    <row r="17" spans="1:38" ht="15.6" x14ac:dyDescent="0.3">
      <c r="A17" s="40"/>
      <c r="B17" s="41"/>
      <c r="C17" s="45"/>
      <c r="D17" s="11">
        <v>14</v>
      </c>
      <c r="E17" s="17" t="s">
        <v>21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8">
        <f t="shared" si="0"/>
        <v>0</v>
      </c>
      <c r="AL17" s="45"/>
    </row>
    <row r="18" spans="1:38" ht="15.6" x14ac:dyDescent="0.3">
      <c r="A18" s="40"/>
      <c r="B18" s="41"/>
      <c r="C18" s="45"/>
      <c r="D18" s="6">
        <v>15</v>
      </c>
      <c r="E18" s="17" t="s">
        <v>22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8">
        <f t="shared" si="0"/>
        <v>0</v>
      </c>
      <c r="AL18" s="45"/>
    </row>
    <row r="19" spans="1:38" ht="15.6" x14ac:dyDescent="0.3">
      <c r="A19" s="40"/>
      <c r="B19" s="41"/>
      <c r="C19" s="45"/>
      <c r="D19" s="11">
        <v>16</v>
      </c>
      <c r="E19" s="17" t="s">
        <v>23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8">
        <f t="shared" si="0"/>
        <v>0</v>
      </c>
      <c r="AL19" s="45"/>
    </row>
    <row r="20" spans="1:38" ht="15.6" x14ac:dyDescent="0.3">
      <c r="A20" s="40"/>
      <c r="B20" s="41"/>
      <c r="C20" s="45"/>
      <c r="D20" s="6">
        <v>17</v>
      </c>
      <c r="E20" s="17" t="s">
        <v>24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8">
        <f t="shared" si="0"/>
        <v>0</v>
      </c>
      <c r="AL20" s="45"/>
    </row>
    <row r="21" spans="1:38" ht="16.2" thickBot="1" x14ac:dyDescent="0.35">
      <c r="A21" s="42"/>
      <c r="B21" s="43"/>
      <c r="C21" s="46"/>
      <c r="D21" s="11">
        <v>18</v>
      </c>
      <c r="E21" s="15" t="s">
        <v>25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8">
        <f t="shared" si="0"/>
        <v>0</v>
      </c>
      <c r="AL21" s="46"/>
    </row>
    <row r="22" spans="1:38" ht="15.6" x14ac:dyDescent="0.3">
      <c r="A22" s="38"/>
      <c r="B22" s="39"/>
      <c r="C22" s="44">
        <v>4</v>
      </c>
      <c r="D22" s="6">
        <v>19</v>
      </c>
      <c r="E22" s="16" t="s">
        <v>26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8">
        <f t="shared" si="0"/>
        <v>0</v>
      </c>
      <c r="AL22" s="44">
        <f>SUM(AK22:AK25)</f>
        <v>0</v>
      </c>
    </row>
    <row r="23" spans="1:38" ht="15.6" x14ac:dyDescent="0.3">
      <c r="A23" s="40"/>
      <c r="B23" s="41"/>
      <c r="C23" s="45"/>
      <c r="D23" s="11">
        <v>20</v>
      </c>
      <c r="E23" s="18" t="s">
        <v>27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8">
        <f t="shared" si="0"/>
        <v>0</v>
      </c>
      <c r="AL23" s="45"/>
    </row>
    <row r="24" spans="1:38" ht="15.6" x14ac:dyDescent="0.3">
      <c r="A24" s="40"/>
      <c r="B24" s="41"/>
      <c r="C24" s="45"/>
      <c r="D24" s="6">
        <v>21</v>
      </c>
      <c r="E24" s="17" t="s">
        <v>28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8">
        <f t="shared" si="0"/>
        <v>0</v>
      </c>
      <c r="AL24" s="45"/>
    </row>
    <row r="25" spans="1:38" ht="16.2" thickBot="1" x14ac:dyDescent="0.35">
      <c r="A25" s="42"/>
      <c r="B25" s="43"/>
      <c r="C25" s="46"/>
      <c r="D25" s="11">
        <v>22</v>
      </c>
      <c r="E25" s="15" t="s">
        <v>29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8">
        <f t="shared" si="0"/>
        <v>0</v>
      </c>
      <c r="AL25" s="46"/>
    </row>
    <row r="26" spans="1:38" ht="15.6" x14ac:dyDescent="0.3">
      <c r="A26" s="38"/>
      <c r="B26" s="39"/>
      <c r="C26" s="44">
        <v>5</v>
      </c>
      <c r="D26" s="6">
        <v>23</v>
      </c>
      <c r="E26" s="16" t="s">
        <v>30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8">
        <f t="shared" si="0"/>
        <v>0</v>
      </c>
      <c r="AL26" s="44">
        <f>SUM(AK26:AK36)</f>
        <v>0</v>
      </c>
    </row>
    <row r="27" spans="1:38" ht="15.6" x14ac:dyDescent="0.3">
      <c r="A27" s="40"/>
      <c r="B27" s="41"/>
      <c r="C27" s="45"/>
      <c r="D27" s="11">
        <v>24</v>
      </c>
      <c r="E27" s="17" t="s">
        <v>31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8">
        <f t="shared" si="0"/>
        <v>0</v>
      </c>
      <c r="AL27" s="45"/>
    </row>
    <row r="28" spans="1:38" ht="15.6" x14ac:dyDescent="0.3">
      <c r="A28" s="40"/>
      <c r="B28" s="41"/>
      <c r="C28" s="45"/>
      <c r="D28" s="6">
        <v>25</v>
      </c>
      <c r="E28" s="17" t="s">
        <v>32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8">
        <f t="shared" si="0"/>
        <v>0</v>
      </c>
      <c r="AL28" s="45"/>
    </row>
    <row r="29" spans="1:38" ht="15.6" x14ac:dyDescent="0.3">
      <c r="A29" s="40"/>
      <c r="B29" s="41"/>
      <c r="C29" s="45"/>
      <c r="D29" s="11">
        <v>26</v>
      </c>
      <c r="E29" s="17" t="s">
        <v>33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8">
        <f t="shared" si="0"/>
        <v>0</v>
      </c>
      <c r="AL29" s="45"/>
    </row>
    <row r="30" spans="1:38" ht="15.6" x14ac:dyDescent="0.3">
      <c r="A30" s="40"/>
      <c r="B30" s="41"/>
      <c r="C30" s="45"/>
      <c r="D30" s="6">
        <v>27</v>
      </c>
      <c r="E30" s="17" t="s">
        <v>34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8">
        <f t="shared" si="0"/>
        <v>0</v>
      </c>
      <c r="AL30" s="45"/>
    </row>
    <row r="31" spans="1:38" ht="15.6" x14ac:dyDescent="0.3">
      <c r="A31" s="40"/>
      <c r="B31" s="41"/>
      <c r="C31" s="45"/>
      <c r="D31" s="11">
        <v>28</v>
      </c>
      <c r="E31" s="17" t="s">
        <v>35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8">
        <f t="shared" si="0"/>
        <v>0</v>
      </c>
      <c r="AL31" s="45"/>
    </row>
    <row r="32" spans="1:38" ht="15.6" x14ac:dyDescent="0.3">
      <c r="A32" s="40"/>
      <c r="B32" s="41"/>
      <c r="C32" s="45"/>
      <c r="D32" s="6">
        <v>29</v>
      </c>
      <c r="E32" s="17" t="s">
        <v>36</v>
      </c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8">
        <f t="shared" si="0"/>
        <v>0</v>
      </c>
      <c r="AL32" s="45"/>
    </row>
    <row r="33" spans="1:38" ht="15.6" x14ac:dyDescent="0.3">
      <c r="A33" s="40"/>
      <c r="B33" s="41"/>
      <c r="C33" s="45"/>
      <c r="D33" s="11">
        <v>30</v>
      </c>
      <c r="E33" s="17" t="s">
        <v>37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8">
        <f t="shared" si="0"/>
        <v>0</v>
      </c>
      <c r="AL33" s="45"/>
    </row>
    <row r="34" spans="1:38" ht="15.6" x14ac:dyDescent="0.3">
      <c r="A34" s="40"/>
      <c r="B34" s="41"/>
      <c r="C34" s="45"/>
      <c r="D34" s="6">
        <v>31</v>
      </c>
      <c r="E34" s="17" t="s">
        <v>38</v>
      </c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8">
        <f t="shared" si="0"/>
        <v>0</v>
      </c>
      <c r="AL34" s="45"/>
    </row>
    <row r="35" spans="1:38" ht="15.6" x14ac:dyDescent="0.3">
      <c r="A35" s="40"/>
      <c r="B35" s="41"/>
      <c r="C35" s="45"/>
      <c r="D35" s="11">
        <v>32</v>
      </c>
      <c r="E35" s="17" t="s">
        <v>39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8">
        <f t="shared" si="0"/>
        <v>0</v>
      </c>
      <c r="AL35" s="45"/>
    </row>
    <row r="36" spans="1:38" ht="16.2" thickBot="1" x14ac:dyDescent="0.35">
      <c r="A36" s="42"/>
      <c r="B36" s="43"/>
      <c r="C36" s="46"/>
      <c r="D36" s="6">
        <v>33</v>
      </c>
      <c r="E36" s="15" t="s">
        <v>40</v>
      </c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8">
        <f t="shared" si="0"/>
        <v>0</v>
      </c>
      <c r="AL36" s="46"/>
    </row>
    <row r="37" spans="1:38" ht="15.6" x14ac:dyDescent="0.3">
      <c r="A37" s="38"/>
      <c r="B37" s="39"/>
      <c r="C37" s="44">
        <v>6</v>
      </c>
      <c r="D37" s="11">
        <v>34</v>
      </c>
      <c r="E37" s="16" t="s">
        <v>41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8">
        <f t="shared" si="0"/>
        <v>0</v>
      </c>
      <c r="AL37" s="44">
        <f>SUM(AK37:AK40)</f>
        <v>0</v>
      </c>
    </row>
    <row r="38" spans="1:38" ht="15.6" x14ac:dyDescent="0.3">
      <c r="A38" s="40"/>
      <c r="B38" s="41"/>
      <c r="C38" s="45"/>
      <c r="D38" s="6">
        <v>35</v>
      </c>
      <c r="E38" s="17" t="s">
        <v>42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8">
        <f t="shared" si="0"/>
        <v>0</v>
      </c>
      <c r="AL38" s="45"/>
    </row>
    <row r="39" spans="1:38" ht="15.6" x14ac:dyDescent="0.3">
      <c r="A39" s="40"/>
      <c r="B39" s="41"/>
      <c r="C39" s="45"/>
      <c r="D39" s="11">
        <v>36</v>
      </c>
      <c r="E39" s="17" t="s">
        <v>43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8">
        <f t="shared" si="0"/>
        <v>0</v>
      </c>
      <c r="AL39" s="45"/>
    </row>
    <row r="40" spans="1:38" ht="16.2" thickBot="1" x14ac:dyDescent="0.35">
      <c r="A40" s="42"/>
      <c r="B40" s="43"/>
      <c r="C40" s="46"/>
      <c r="D40" s="6">
        <v>37</v>
      </c>
      <c r="E40" s="15" t="s">
        <v>44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8">
        <f t="shared" si="0"/>
        <v>0</v>
      </c>
      <c r="AL40" s="46"/>
    </row>
  </sheetData>
  <mergeCells count="20">
    <mergeCell ref="A12:B14"/>
    <mergeCell ref="C12:C14"/>
    <mergeCell ref="AL12:AL14"/>
    <mergeCell ref="A2:AL2"/>
    <mergeCell ref="A3:B3"/>
    <mergeCell ref="A4:B11"/>
    <mergeCell ref="C4:C11"/>
    <mergeCell ref="AL4:AL11"/>
    <mergeCell ref="A15:B21"/>
    <mergeCell ref="C15:C21"/>
    <mergeCell ref="AL15:AL21"/>
    <mergeCell ref="A22:B25"/>
    <mergeCell ref="C22:C25"/>
    <mergeCell ref="AL22:AL25"/>
    <mergeCell ref="A26:B36"/>
    <mergeCell ref="C26:C36"/>
    <mergeCell ref="AL26:AL36"/>
    <mergeCell ref="A37:B40"/>
    <mergeCell ref="C37:C40"/>
    <mergeCell ref="AL37:AL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</vt:lpstr>
      <vt:lpstr>HOW PROJECT IS WORKING</vt:lpstr>
      <vt:lpstr>SEPTEMBER BALANCE AND OPENING</vt:lpstr>
      <vt:lpstr>RTO AND OLD STOCK OCTOBER</vt:lpstr>
      <vt:lpstr>DTO OCTOBER 2024</vt:lpstr>
      <vt:lpstr>MASTER GOOD OCOTBER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HASRAT SAYYED</dc:creator>
  <cp:lastModifiedBy>HASRAT SAYYED</cp:lastModifiedBy>
  <dcterms:created xsi:type="dcterms:W3CDTF">2026-02-02T12:17:26Z</dcterms:created>
  <dcterms:modified xsi:type="dcterms:W3CDTF">2026-02-05T09:40:19Z</dcterms:modified>
</cp:coreProperties>
</file>